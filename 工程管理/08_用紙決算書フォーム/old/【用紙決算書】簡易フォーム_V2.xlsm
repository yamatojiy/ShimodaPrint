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_yamatoji_y\02_用紙決算書\"/>
    </mc:Choice>
  </mc:AlternateContent>
  <xr:revisionPtr revIDLastSave="0" documentId="13_ncr:1_{89CF1486-66D2-4196-BC36-3F4A548B1868}" xr6:coauthVersionLast="47" xr6:coauthVersionMax="47" xr10:uidLastSave="{00000000-0000-0000-0000-000000000000}"/>
  <bookViews>
    <workbookView xWindow="28680" yWindow="-120" windowWidth="29040" windowHeight="15720" firstSheet="8" activeTab="13" xr2:uid="{6D143C92-4DEB-4207-82C1-249CD26AEAC7}"/>
  </bookViews>
  <sheets>
    <sheet name="INPUT" sheetId="6" r:id="rId1"/>
    <sheet name="Header" sheetId="25" r:id="rId2"/>
    <sheet name="Item" sheetId="7" r:id="rId3"/>
    <sheet name="Footer" sheetId="31" r:id="rId4"/>
    <sheet name="→" sheetId="47" r:id="rId5"/>
    <sheet name="0015F　福岡銀行" sheetId="48" r:id="rId6"/>
    <sheet name="ご長寿応援券" sheetId="51" r:id="rId7"/>
    <sheet name="IKK株主優待割引券" sheetId="52" r:id="rId8"/>
    <sheet name="IKK株主優待レストラン券" sheetId="53" r:id="rId9"/>
    <sheet name="西日本鉄道　株主優待回数券" sheetId="54" r:id="rId10"/>
    <sheet name="IKK株主優待割引券　改刷分" sheetId="56" r:id="rId11"/>
    <sheet name="宝くじチラシ" sheetId="57" r:id="rId12"/>
    <sheet name="バウ　抽選券" sheetId="58" r:id="rId13"/>
    <sheet name="バウ　抽選券7.20付" sheetId="59" r:id="rId14"/>
  </sheets>
  <definedNames>
    <definedName name="_xlnm.Print_Area" localSheetId="10">'IKK株主優待割引券　改刷分'!$A$1:$K$30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7" i="7" l="1"/>
  <c r="L72" i="7" l="1"/>
  <c r="L27" i="7"/>
  <c r="K1" i="25"/>
  <c r="L67" i="7"/>
  <c r="L62" i="7"/>
  <c r="B1" i="47" a="1"/>
  <c r="B1" i="47" s="1"/>
  <c r="C2" i="47" s="1"/>
  <c r="B2" i="47" a="1"/>
  <c r="B2" i="47" s="1"/>
  <c r="C3" i="47" s="1"/>
  <c r="B3" i="47" a="1"/>
  <c r="B3" i="47" s="1"/>
  <c r="C4" i="47" s="1"/>
  <c r="B4" i="47" a="1"/>
  <c r="B4" i="47" s="1"/>
  <c r="C5" i="47" s="1"/>
  <c r="B5" i="47" a="1"/>
  <c r="B5" i="47" s="1"/>
  <c r="C6" i="47" s="1"/>
  <c r="B6" i="47" a="1"/>
  <c r="B6" i="47" s="1"/>
  <c r="C7" i="47" s="1"/>
  <c r="B7" i="47" a="1"/>
  <c r="B7" i="47" s="1"/>
  <c r="C8" i="47" s="1"/>
  <c r="B8" i="47" a="1"/>
  <c r="B8" i="47" s="1"/>
  <c r="C9" i="47" s="1"/>
  <c r="B9" i="47" a="1"/>
  <c r="B9" i="47" s="1"/>
  <c r="C10" i="47" s="1"/>
  <c r="B10" i="47" a="1"/>
  <c r="B10" i="47" s="1"/>
  <c r="C11" i="47" s="1"/>
  <c r="B11" i="47" a="1"/>
  <c r="B11" i="47" s="1"/>
  <c r="C12" i="47" s="1"/>
  <c r="B12" i="47" a="1"/>
  <c r="B12" i="47" s="1"/>
  <c r="C13" i="47" s="1"/>
  <c r="B13" i="47" a="1"/>
  <c r="B13" i="47" s="1"/>
  <c r="C14" i="47" s="1"/>
  <c r="B14" i="47" a="1"/>
  <c r="B14" i="47" s="1"/>
  <c r="L52" i="7" l="1"/>
  <c r="L47" i="7"/>
  <c r="L42" i="7"/>
  <c r="L37" i="7"/>
  <c r="L32" i="7"/>
  <c r="B15" i="47" a="1"/>
  <c r="B15" i="47" s="1"/>
  <c r="B16" i="47" a="1"/>
  <c r="B16" i="47" s="1"/>
  <c r="B17" i="47" a="1"/>
  <c r="B17" i="47" s="1"/>
  <c r="B18" i="47" a="1"/>
  <c r="B18" i="47" s="1"/>
  <c r="B19" i="47" a="1"/>
  <c r="B19" i="47" s="1"/>
  <c r="B20" i="47" a="1"/>
  <c r="B20" i="47" s="1"/>
  <c r="B21" i="47" a="1"/>
  <c r="B21" i="47" s="1"/>
  <c r="B22" i="47" a="1"/>
  <c r="B22" i="47" s="1"/>
  <c r="B23" i="47" a="1"/>
  <c r="B23" i="47" s="1"/>
  <c r="B24" i="47" a="1"/>
  <c r="B24" i="47" s="1"/>
  <c r="B25" i="47" a="1"/>
  <c r="B25" i="47" s="1"/>
  <c r="B26" i="47" a="1"/>
  <c r="B26" i="47" s="1"/>
  <c r="C9" i="6"/>
  <c r="L22" i="7"/>
  <c r="L17" i="7"/>
  <c r="L12" i="7"/>
  <c r="L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<sst xmlns="http://schemas.openxmlformats.org/spreadsheetml/2006/main" count="1311" uniqueCount="174">
  <si>
    <t>印刷</t>
    <rPh sb="0" eb="2">
      <t>インサツ</t>
    </rPh>
    <phoneticPr fontId="2"/>
  </si>
  <si>
    <t>作成日：</t>
    <rPh sb="0" eb="3">
      <t>サクセイビ</t>
    </rPh>
    <phoneticPr fontId="3"/>
  </si>
  <si>
    <t>部署：</t>
    <rPh sb="0" eb="2">
      <t>ブショ</t>
    </rPh>
    <phoneticPr fontId="3"/>
  </si>
  <si>
    <t>資材</t>
    <rPh sb="0" eb="2">
      <t>シザイ</t>
    </rPh>
    <phoneticPr fontId="3"/>
  </si>
  <si>
    <t>担当：</t>
    <rPh sb="0" eb="2">
      <t>タントウ</t>
    </rPh>
    <phoneticPr fontId="3"/>
  </si>
  <si>
    <t>項目</t>
    <rPh sb="0" eb="2">
      <t>コウモク</t>
    </rPh>
    <phoneticPr fontId="3"/>
  </si>
  <si>
    <t>全紙サイズ</t>
    <rPh sb="0" eb="2">
      <t>ゼンシ</t>
    </rPh>
    <phoneticPr fontId="3"/>
  </si>
  <si>
    <t>全紙枚数</t>
    <rPh sb="0" eb="4">
      <t>ゼンシマイスウ</t>
    </rPh>
    <phoneticPr fontId="3"/>
  </si>
  <si>
    <t>ヤレ</t>
    <phoneticPr fontId="3"/>
  </si>
  <si>
    <t>作業枚数</t>
    <rPh sb="0" eb="2">
      <t>サギョウ</t>
    </rPh>
    <rPh sb="2" eb="4">
      <t>マイスウ</t>
    </rPh>
    <phoneticPr fontId="3"/>
  </si>
  <si>
    <t>次工程</t>
    <rPh sb="0" eb="1">
      <t>ツギ</t>
    </rPh>
    <rPh sb="1" eb="3">
      <t>コウテイ</t>
    </rPh>
    <phoneticPr fontId="3"/>
  </si>
  <si>
    <t>検印</t>
    <rPh sb="0" eb="2">
      <t>ケンイン</t>
    </rPh>
    <phoneticPr fontId="3"/>
  </si>
  <si>
    <t>印刷</t>
    <rPh sb="0" eb="2">
      <t>インサツ</t>
    </rPh>
    <phoneticPr fontId="3"/>
  </si>
  <si>
    <t>受け枚数</t>
    <rPh sb="0" eb="1">
      <t>ウ</t>
    </rPh>
    <rPh sb="2" eb="4">
      <t>マイスウ</t>
    </rPh>
    <phoneticPr fontId="3"/>
  </si>
  <si>
    <t>カウンター</t>
    <phoneticPr fontId="3"/>
  </si>
  <si>
    <t>保管</t>
    <rPh sb="0" eb="2">
      <t>ホカン</t>
    </rPh>
    <phoneticPr fontId="3"/>
  </si>
  <si>
    <t>製品</t>
    <rPh sb="0" eb="2">
      <t>セイヒン</t>
    </rPh>
    <phoneticPr fontId="3"/>
  </si>
  <si>
    <t>断裁サイズ</t>
    <rPh sb="0" eb="2">
      <t>ダンサイ</t>
    </rPh>
    <phoneticPr fontId="3"/>
  </si>
  <si>
    <t>次工程</t>
    <rPh sb="0" eb="3">
      <t>ツギコウテイ</t>
    </rPh>
    <phoneticPr fontId="3"/>
  </si>
  <si>
    <t>丁付け</t>
    <rPh sb="0" eb="2">
      <t>チョウヅ</t>
    </rPh>
    <phoneticPr fontId="3"/>
  </si>
  <si>
    <t>備考</t>
    <rPh sb="0" eb="2">
      <t>ビコウ</t>
    </rPh>
    <phoneticPr fontId="3"/>
  </si>
  <si>
    <t>（用紙決算の数値には含めていません。）</t>
    <rPh sb="1" eb="3">
      <t>ヨウシ</t>
    </rPh>
    <rPh sb="3" eb="5">
      <t>ケッサン</t>
    </rPh>
    <rPh sb="6" eb="8">
      <t>スウチ</t>
    </rPh>
    <rPh sb="10" eb="11">
      <t>フク</t>
    </rPh>
    <phoneticPr fontId="2"/>
  </si>
  <si>
    <t>サイズ</t>
    <phoneticPr fontId="2"/>
  </si>
  <si>
    <t>断裁</t>
    <rPh sb="0" eb="2">
      <t>ダンサイ</t>
    </rPh>
    <phoneticPr fontId="3"/>
  </si>
  <si>
    <t>用紙決算書用の入力フォームです。</t>
    <rPh sb="0" eb="2">
      <t>ヨウシ</t>
    </rPh>
    <rPh sb="2" eb="5">
      <t>ケッサンショ</t>
    </rPh>
    <rPh sb="5" eb="6">
      <t>ヨウ</t>
    </rPh>
    <rPh sb="7" eb="9">
      <t>ニュウリョク</t>
    </rPh>
    <phoneticPr fontId="2"/>
  </si>
  <si>
    <t>適当に作るので、文句言わないように。</t>
    <rPh sb="0" eb="2">
      <t>テキトウ</t>
    </rPh>
    <rPh sb="3" eb="4">
      <t>ツク</t>
    </rPh>
    <rPh sb="8" eb="10">
      <t>モンク</t>
    </rPh>
    <rPh sb="10" eb="11">
      <t>イ</t>
    </rPh>
    <phoneticPr fontId="2"/>
  </si>
  <si>
    <t>伝票No：</t>
    <rPh sb="0" eb="2">
      <t>デンヒョウ</t>
    </rPh>
    <phoneticPr fontId="2"/>
  </si>
  <si>
    <t>品名：</t>
    <rPh sb="0" eb="2">
      <t>ヒンメイ</t>
    </rPh>
    <phoneticPr fontId="2"/>
  </si>
  <si>
    <t>日付：</t>
    <rPh sb="0" eb="2">
      <t>ヒヅケ</t>
    </rPh>
    <phoneticPr fontId="2"/>
  </si>
  <si>
    <t>※空欄だと本日の日付が入ります。</t>
    <rPh sb="1" eb="3">
      <t>クウラン</t>
    </rPh>
    <rPh sb="5" eb="7">
      <t>ホンジツ</t>
    </rPh>
    <rPh sb="8" eb="10">
      <t>ヒヅケ</t>
    </rPh>
    <rPh sb="11" eb="12">
      <t>ハイ</t>
    </rPh>
    <phoneticPr fontId="2"/>
  </si>
  <si>
    <t>項目No</t>
    <rPh sb="0" eb="2">
      <t>コウモク</t>
    </rPh>
    <phoneticPr fontId="2"/>
  </si>
  <si>
    <t>項目名</t>
    <rPh sb="0" eb="2">
      <t>コウモク</t>
    </rPh>
    <rPh sb="2" eb="3">
      <t>メイ</t>
    </rPh>
    <phoneticPr fontId="2"/>
  </si>
  <si>
    <t>担当者</t>
    <rPh sb="0" eb="3">
      <t>タントウシャ</t>
    </rPh>
    <phoneticPr fontId="2"/>
  </si>
  <si>
    <t>EOF</t>
    <phoneticPr fontId="2"/>
  </si>
  <si>
    <t>資材断裁</t>
    <rPh sb="0" eb="2">
      <t>シザイ</t>
    </rPh>
    <rPh sb="2" eb="4">
      <t>ダンサイ</t>
    </rPh>
    <phoneticPr fontId="2"/>
  </si>
  <si>
    <t>行数：</t>
    <rPh sb="0" eb="2">
      <t>ギョウスウ</t>
    </rPh>
    <phoneticPr fontId="2"/>
  </si>
  <si>
    <t>※項目後の行数 (自動算出）</t>
    <rPh sb="1" eb="4">
      <t>コウモクゴ</t>
    </rPh>
    <rPh sb="5" eb="7">
      <t>ギョウスウ</t>
    </rPh>
    <rPh sb="9" eb="11">
      <t>ジドウ</t>
    </rPh>
    <rPh sb="11" eb="13">
      <t>サンシュツ</t>
    </rPh>
    <phoneticPr fontId="2"/>
  </si>
  <si>
    <t>項目数</t>
    <rPh sb="0" eb="2">
      <t>コウモク</t>
    </rPh>
    <rPh sb="2" eb="3">
      <t>スウ</t>
    </rPh>
    <phoneticPr fontId="2"/>
  </si>
  <si>
    <t>資材断裁</t>
    <rPh sb="0" eb="2">
      <t>シザイ</t>
    </rPh>
    <rPh sb="2" eb="4">
      <t>ダンサイ</t>
    </rPh>
    <phoneticPr fontId="3"/>
  </si>
  <si>
    <t>伝票No：</t>
    <rPh sb="0" eb="2">
      <t>デンヒョウ</t>
    </rPh>
    <phoneticPr fontId="3"/>
  </si>
  <si>
    <t>品名：</t>
    <rPh sb="0" eb="2">
      <t>ヒンメイ</t>
    </rPh>
    <phoneticPr fontId="3"/>
  </si>
  <si>
    <t>←必要</t>
    <rPh sb="1" eb="3">
      <t>ヒツヨウ</t>
    </rPh>
    <phoneticPr fontId="2"/>
  </si>
  <si>
    <t>１以下にしない事</t>
    <rPh sb="1" eb="3">
      <t>イカ</t>
    </rPh>
    <rPh sb="7" eb="8">
      <t>コト</t>
    </rPh>
    <phoneticPr fontId="2"/>
  </si>
  <si>
    <t>色調整のため、ヤレ紙を別途               枚使用しました。</t>
    <rPh sb="0" eb="3">
      <t>イロチョウセイ</t>
    </rPh>
    <rPh sb="9" eb="10">
      <t>ガミ</t>
    </rPh>
    <rPh sb="11" eb="13">
      <t>ベット</t>
    </rPh>
    <rPh sb="28" eb="29">
      <t>マイ</t>
    </rPh>
    <rPh sb="29" eb="31">
      <t>シヨウ</t>
    </rPh>
    <phoneticPr fontId="2"/>
  </si>
  <si>
    <t>←この計算式消さないで</t>
    <rPh sb="3" eb="6">
      <t>ケイサンシキ</t>
    </rPh>
    <rPh sb="6" eb="7">
      <t>ケ</t>
    </rPh>
    <phoneticPr fontId="2"/>
  </si>
  <si>
    <t>ミシン(計数含む)</t>
    <rPh sb="4" eb="6">
      <t>ケイスウ</t>
    </rPh>
    <rPh sb="6" eb="7">
      <t>フク</t>
    </rPh>
    <phoneticPr fontId="2"/>
  </si>
  <si>
    <t>ミシン(計数含む)</t>
    <rPh sb="4" eb="7">
      <t>ケイスウフク</t>
    </rPh>
    <phoneticPr fontId="3"/>
  </si>
  <si>
    <t>ナンバリング</t>
    <phoneticPr fontId="2"/>
  </si>
  <si>
    <t>ナンバリング</t>
    <phoneticPr fontId="3"/>
  </si>
  <si>
    <t>DTP</t>
    <phoneticPr fontId="3"/>
  </si>
  <si>
    <t>クロス</t>
    <phoneticPr fontId="2"/>
  </si>
  <si>
    <t>クロス</t>
    <phoneticPr fontId="3"/>
  </si>
  <si>
    <t>仕上げ断裁</t>
    <rPh sb="0" eb="2">
      <t>シア</t>
    </rPh>
    <rPh sb="3" eb="5">
      <t>ダンサイ</t>
    </rPh>
    <phoneticPr fontId="2"/>
  </si>
  <si>
    <t>仕上げ断裁</t>
    <rPh sb="0" eb="2">
      <t>シア</t>
    </rPh>
    <rPh sb="3" eb="5">
      <t>ダンサイ</t>
    </rPh>
    <phoneticPr fontId="3"/>
  </si>
  <si>
    <t>計測</t>
    <rPh sb="0" eb="2">
      <t>ケイソク</t>
    </rPh>
    <phoneticPr fontId="2"/>
  </si>
  <si>
    <t>包装</t>
    <rPh sb="0" eb="2">
      <t>ホウソウ</t>
    </rPh>
    <phoneticPr fontId="2"/>
  </si>
  <si>
    <t>鹿本</t>
    <rPh sb="0" eb="2">
      <t>シカモト</t>
    </rPh>
    <phoneticPr fontId="2"/>
  </si>
  <si>
    <t>現場責任者承認</t>
    <rPh sb="0" eb="5">
      <t>ゲンバセキニンシャ</t>
    </rPh>
    <rPh sb="5" eb="7">
      <t>ショウニン</t>
    </rPh>
    <phoneticPr fontId="2"/>
  </si>
  <si>
    <t>最終責任者承認</t>
    <rPh sb="0" eb="5">
      <t>サイシュウセキニンシャ</t>
    </rPh>
    <rPh sb="5" eb="7">
      <t>ショウニン</t>
    </rPh>
    <phoneticPr fontId="2"/>
  </si>
  <si>
    <t>断裁(製本サイズ)</t>
    <rPh sb="0" eb="2">
      <t>ダンサイ</t>
    </rPh>
    <rPh sb="3" eb="5">
      <t>セイホン</t>
    </rPh>
    <phoneticPr fontId="2"/>
  </si>
  <si>
    <t>断裁(ミシン・ナンバー入れサイズ)</t>
    <rPh sb="0" eb="2">
      <t>ダンサイ</t>
    </rPh>
    <rPh sb="11" eb="12">
      <t>イ</t>
    </rPh>
    <phoneticPr fontId="2"/>
  </si>
  <si>
    <t>計数機</t>
    <rPh sb="0" eb="2">
      <t>ケイスウ</t>
    </rPh>
    <rPh sb="2" eb="3">
      <t>キ</t>
    </rPh>
    <phoneticPr fontId="2"/>
  </si>
  <si>
    <t>計数機</t>
    <rPh sb="0" eb="3">
      <t>ケイスウキ</t>
    </rPh>
    <phoneticPr fontId="3"/>
  </si>
  <si>
    <t>包装</t>
  </si>
  <si>
    <t>サイズ</t>
    <phoneticPr fontId="3"/>
  </si>
  <si>
    <t>出力数</t>
    <rPh sb="0" eb="3">
      <t>シュツリョクスウ</t>
    </rPh>
    <phoneticPr fontId="3"/>
  </si>
  <si>
    <t>製品数</t>
    <rPh sb="0" eb="3">
      <t>セイヒンスウ</t>
    </rPh>
    <phoneticPr fontId="3"/>
  </si>
  <si>
    <t>包装</t>
    <rPh sb="0" eb="2">
      <t>ホウソウ</t>
    </rPh>
    <phoneticPr fontId="3"/>
  </si>
  <si>
    <t>検査</t>
    <rPh sb="0" eb="2">
      <t>ケンサ</t>
    </rPh>
    <phoneticPr fontId="2"/>
  </si>
  <si>
    <t>検査</t>
    <rPh sb="0" eb="2">
      <t>ケンサ</t>
    </rPh>
    <phoneticPr fontId="3"/>
  </si>
  <si>
    <t>００１５Ｆ 譲渡性預金証書（福岡銀行）</t>
  </si>
  <si>
    <t>印刷</t>
  </si>
  <si>
    <t>松岡</t>
  </si>
  <si>
    <t>緒方</t>
  </si>
  <si>
    <t>筋入れ</t>
    <rPh sb="0" eb="2">
      <t>スジイ</t>
    </rPh>
    <phoneticPr fontId="2"/>
  </si>
  <si>
    <t>甲斐</t>
  </si>
  <si>
    <t>宮﨑</t>
  </si>
  <si>
    <t>鹿本</t>
  </si>
  <si>
    <t>工程 1</t>
  </si>
  <si>
    <t>工程 2</t>
  </si>
  <si>
    <t>工程 3</t>
  </si>
  <si>
    <t>工程 4</t>
  </si>
  <si>
    <t>工程 5</t>
  </si>
  <si>
    <t>工程 6</t>
  </si>
  <si>
    <t>工程 7</t>
  </si>
  <si>
    <t>本文</t>
    <rPh sb="0" eb="2">
      <t>ホンブン</t>
    </rPh>
    <phoneticPr fontId="2"/>
  </si>
  <si>
    <t>全サイズ</t>
    <rPh sb="0" eb="1">
      <t>ゼン</t>
    </rPh>
    <phoneticPr fontId="3"/>
  </si>
  <si>
    <t>A1</t>
    <phoneticPr fontId="2"/>
  </si>
  <si>
    <t>A2</t>
    <phoneticPr fontId="2"/>
  </si>
  <si>
    <t>ウラ</t>
    <phoneticPr fontId="2"/>
  </si>
  <si>
    <t>オモテ</t>
    <phoneticPr fontId="2"/>
  </si>
  <si>
    <t>オモテ印鑑</t>
    <rPh sb="3" eb="5">
      <t>インカン</t>
    </rPh>
    <phoneticPr fontId="2"/>
  </si>
  <si>
    <t>212×628</t>
    <phoneticPr fontId="2"/>
  </si>
  <si>
    <t>207×180</t>
    <phoneticPr fontId="2"/>
  </si>
  <si>
    <t>定数</t>
    <rPh sb="0" eb="2">
      <t>テイスウ</t>
    </rPh>
    <phoneticPr fontId="2"/>
  </si>
  <si>
    <t>見本</t>
    <rPh sb="0" eb="2">
      <t>ミホン</t>
    </rPh>
    <phoneticPr fontId="2"/>
  </si>
  <si>
    <t>予備</t>
    <rPh sb="0" eb="2">
      <t>ヨビ</t>
    </rPh>
    <phoneticPr fontId="2"/>
  </si>
  <si>
    <t>計量</t>
    <rPh sb="0" eb="2">
      <t>ケイリョウ</t>
    </rPh>
    <phoneticPr fontId="3"/>
  </si>
  <si>
    <t>色調整のため、ヤレ紙を別途             441  枚使用しました。</t>
    <rPh sb="0" eb="3">
      <t>イロチョウセイ</t>
    </rPh>
    <rPh sb="9" eb="10">
      <t>ガミ</t>
    </rPh>
    <rPh sb="11" eb="13">
      <t>ベット</t>
    </rPh>
    <rPh sb="31" eb="32">
      <t>マイ</t>
    </rPh>
    <rPh sb="32" eb="34">
      <t>シヨウ</t>
    </rPh>
    <phoneticPr fontId="2"/>
  </si>
  <si>
    <t>次工程</t>
    <rPh sb="0" eb="3">
      <t>ジコウテイ</t>
    </rPh>
    <phoneticPr fontId="3"/>
  </si>
  <si>
    <t>ご長寿応援券</t>
  </si>
  <si>
    <t>家入</t>
  </si>
  <si>
    <t>本文(名瀬)</t>
    <rPh sb="0" eb="2">
      <t>ホンブン</t>
    </rPh>
    <rPh sb="3" eb="5">
      <t>ナゼ</t>
    </rPh>
    <phoneticPr fontId="2"/>
  </si>
  <si>
    <t>本文(住用)</t>
    <rPh sb="0" eb="2">
      <t>ホンブン</t>
    </rPh>
    <rPh sb="3" eb="5">
      <t>スミヨウ</t>
    </rPh>
    <phoneticPr fontId="2"/>
  </si>
  <si>
    <t>表紙</t>
    <rPh sb="0" eb="2">
      <t>ヒョウシ</t>
    </rPh>
    <phoneticPr fontId="2"/>
  </si>
  <si>
    <t>46/4切</t>
    <rPh sb="4" eb="5">
      <t>キリ</t>
    </rPh>
    <phoneticPr fontId="2"/>
  </si>
  <si>
    <t>本文(ウラ)</t>
    <rPh sb="0" eb="2">
      <t>ホンブン</t>
    </rPh>
    <phoneticPr fontId="2"/>
  </si>
  <si>
    <t>4切</t>
    <rPh sb="1" eb="2">
      <t>キリ</t>
    </rPh>
    <phoneticPr fontId="2"/>
  </si>
  <si>
    <t>名瀬</t>
    <rPh sb="0" eb="2">
      <t>ナゼ</t>
    </rPh>
    <phoneticPr fontId="2"/>
  </si>
  <si>
    <t>170×272</t>
    <phoneticPr fontId="2"/>
  </si>
  <si>
    <t>本梅</t>
  </si>
  <si>
    <t>仕上げ断裁</t>
  </si>
  <si>
    <t>工程 8</t>
  </si>
  <si>
    <t>工程 9</t>
  </si>
  <si>
    <t>製本</t>
    <rPh sb="0" eb="2">
      <t>セイホン</t>
    </rPh>
    <phoneticPr fontId="3"/>
  </si>
  <si>
    <t>本文(笠利)</t>
    <rPh sb="0" eb="2">
      <t>ホンブン</t>
    </rPh>
    <rPh sb="3" eb="5">
      <t>リュウトシ</t>
    </rPh>
    <phoneticPr fontId="2"/>
  </si>
  <si>
    <t>住用</t>
    <rPh sb="0" eb="2">
      <t>スミヨウ</t>
    </rPh>
    <phoneticPr fontId="2"/>
  </si>
  <si>
    <t>笠利</t>
    <rPh sb="0" eb="2">
      <t>リュウトシ</t>
    </rPh>
    <phoneticPr fontId="2"/>
  </si>
  <si>
    <t>見本</t>
    <rPh sb="0" eb="2">
      <t>ミホン</t>
    </rPh>
    <phoneticPr fontId="3"/>
  </si>
  <si>
    <t>予備</t>
    <rPh sb="0" eb="2">
      <t>ヨビ</t>
    </rPh>
    <phoneticPr fontId="3"/>
  </si>
  <si>
    <t>製本</t>
    <rPh sb="0" eb="2">
      <t>セイホン</t>
    </rPh>
    <phoneticPr fontId="2"/>
  </si>
  <si>
    <t>ミシン</t>
    <phoneticPr fontId="3"/>
  </si>
  <si>
    <t>色調整のため、ヤレ紙を別途   218 枚使用しました。</t>
    <rPh sb="0" eb="3">
      <t>イロチョウセイ</t>
    </rPh>
    <rPh sb="9" eb="10">
      <t>ガミ</t>
    </rPh>
    <rPh sb="11" eb="13">
      <t>ベット</t>
    </rPh>
    <rPh sb="20" eb="21">
      <t>マイ</t>
    </rPh>
    <rPh sb="21" eb="23">
      <t>シヨウ</t>
    </rPh>
    <phoneticPr fontId="2"/>
  </si>
  <si>
    <t>ナンバリング</t>
  </si>
  <si>
    <t>影下</t>
  </si>
  <si>
    <t>影下</t>
    <rPh sb="0" eb="2">
      <t>カゲシタ</t>
    </rPh>
    <phoneticPr fontId="2"/>
  </si>
  <si>
    <t>満井</t>
  </si>
  <si>
    <t>IKK株主優待割引券</t>
    <phoneticPr fontId="2"/>
  </si>
  <si>
    <t>46/8切</t>
    <rPh sb="4" eb="5">
      <t>キリ</t>
    </rPh>
    <phoneticPr fontId="2"/>
  </si>
  <si>
    <t>272×393</t>
    <phoneticPr fontId="2"/>
  </si>
  <si>
    <t>157×75</t>
    <phoneticPr fontId="2"/>
  </si>
  <si>
    <t>折り</t>
    <rPh sb="0" eb="1">
      <t>オ</t>
    </rPh>
    <phoneticPr fontId="2"/>
  </si>
  <si>
    <t>緒方・山田</t>
  </si>
  <si>
    <t>山田</t>
  </si>
  <si>
    <t>鈴木</t>
  </si>
  <si>
    <t>970×700</t>
    <phoneticPr fontId="2"/>
  </si>
  <si>
    <t>468×328</t>
    <phoneticPr fontId="2"/>
  </si>
  <si>
    <t>222×157</t>
    <phoneticPr fontId="2"/>
  </si>
  <si>
    <t>IKK株主優待レストラン券</t>
    <phoneticPr fontId="2"/>
  </si>
  <si>
    <t>色調整のため、ヤレ紙を別途 120 枚使用しました。</t>
    <rPh sb="0" eb="3">
      <t>イロチョウセイ</t>
    </rPh>
    <rPh sb="9" eb="10">
      <t>ガミ</t>
    </rPh>
    <rPh sb="11" eb="13">
      <t>ベット</t>
    </rPh>
    <rPh sb="18" eb="19">
      <t>マイ</t>
    </rPh>
    <rPh sb="19" eb="21">
      <t>シヨウ</t>
    </rPh>
    <phoneticPr fontId="2"/>
  </si>
  <si>
    <t>色調整のため、ヤレ紙を別途 231枚使用しました。</t>
    <rPh sb="0" eb="3">
      <t>イロチョウセイ</t>
    </rPh>
    <rPh sb="9" eb="10">
      <t>ガミ</t>
    </rPh>
    <rPh sb="11" eb="13">
      <t>ベット</t>
    </rPh>
    <rPh sb="17" eb="18">
      <t>マイ</t>
    </rPh>
    <rPh sb="18" eb="20">
      <t>シヨウ</t>
    </rPh>
    <phoneticPr fontId="2"/>
  </si>
  <si>
    <t>西日本鉄道　株主優待回数券</t>
  </si>
  <si>
    <t>計測</t>
  </si>
  <si>
    <t>菊1</t>
    <rPh sb="0" eb="1">
      <t>キク</t>
    </rPh>
    <phoneticPr fontId="2"/>
  </si>
  <si>
    <t>468×318</t>
    <phoneticPr fontId="2"/>
  </si>
  <si>
    <t>菊四切</t>
    <rPh sb="0" eb="1">
      <t>キク</t>
    </rPh>
    <rPh sb="1" eb="3">
      <t>ヨツギリ</t>
    </rPh>
    <phoneticPr fontId="2"/>
  </si>
  <si>
    <t>工程 4</t>
    <phoneticPr fontId="2"/>
  </si>
  <si>
    <t>工程 5</t>
    <phoneticPr fontId="2"/>
  </si>
  <si>
    <t>工程 7</t>
    <phoneticPr fontId="2"/>
  </si>
  <si>
    <t>IKK株主優待割引券　改刷分</t>
    <rPh sb="11" eb="14">
      <t>カイサツブン</t>
    </rPh>
    <phoneticPr fontId="2"/>
  </si>
  <si>
    <t>福岡銀行　宝くじチラシ</t>
  </si>
  <si>
    <t>計数機</t>
  </si>
  <si>
    <t>清川</t>
  </si>
  <si>
    <t>菊4切</t>
    <rPh sb="0" eb="1">
      <t>キク</t>
    </rPh>
    <rPh sb="2" eb="3">
      <t>キリ</t>
    </rPh>
    <phoneticPr fontId="2"/>
  </si>
  <si>
    <t>318×468</t>
    <phoneticPr fontId="2"/>
  </si>
  <si>
    <t>150×80</t>
    <phoneticPr fontId="2"/>
  </si>
  <si>
    <t>180×83</t>
    <phoneticPr fontId="2"/>
  </si>
  <si>
    <t>資材断裁</t>
    <phoneticPr fontId="2"/>
  </si>
  <si>
    <t>バウコミュニケーションズ　シリアルナンバー入り抽選券　6/15付</t>
  </si>
  <si>
    <t>緒方</t>
    <rPh sb="0" eb="2">
      <t>オガタ</t>
    </rPh>
    <phoneticPr fontId="2"/>
  </si>
  <si>
    <t>甲斐・緒方</t>
  </si>
  <si>
    <t>満井</t>
    <rPh sb="0" eb="2">
      <t>ミツイ</t>
    </rPh>
    <phoneticPr fontId="2"/>
  </si>
  <si>
    <t>440×311</t>
    <phoneticPr fontId="2"/>
  </si>
  <si>
    <t>色調整のため、ヤレ紙を別途  196 枚使用しました。</t>
    <rPh sb="0" eb="3">
      <t>イロチョウセイ</t>
    </rPh>
    <rPh sb="9" eb="10">
      <t>ガミ</t>
    </rPh>
    <rPh sb="11" eb="13">
      <t>ベット</t>
    </rPh>
    <rPh sb="19" eb="20">
      <t>マイ</t>
    </rPh>
    <rPh sb="20" eb="22">
      <t>シヨウ</t>
    </rPh>
    <phoneticPr fontId="2"/>
  </si>
  <si>
    <t>色調整のため、ヤレ紙を別途  220  枚使用しました。</t>
    <rPh sb="0" eb="3">
      <t>イロチョウセイ</t>
    </rPh>
    <rPh sb="9" eb="10">
      <t>ガミ</t>
    </rPh>
    <rPh sb="11" eb="13">
      <t>ベット</t>
    </rPh>
    <rPh sb="20" eb="21">
      <t>マイ</t>
    </rPh>
    <rPh sb="21" eb="23">
      <t>シヨウ</t>
    </rPh>
    <phoneticPr fontId="2"/>
  </si>
  <si>
    <t>色調整のため、ヤレ紙を別途  232 枚使用しました。</t>
    <rPh sb="0" eb="3">
      <t>イロチョウセイ</t>
    </rPh>
    <rPh sb="9" eb="10">
      <t>ガミ</t>
    </rPh>
    <rPh sb="11" eb="13">
      <t>ベット</t>
    </rPh>
    <rPh sb="19" eb="20">
      <t>マイ</t>
    </rPh>
    <rPh sb="20" eb="22">
      <t>シヨウ</t>
    </rPh>
    <phoneticPr fontId="2"/>
  </si>
  <si>
    <t>バウコミュニケーションズ　シリアルナンバー入り抽選券　7/20付</t>
  </si>
  <si>
    <t>バウコミュニケーションズ　シリアルナンバー入り抽選券　7/20付</t>
    <phoneticPr fontId="2"/>
  </si>
  <si>
    <t>鈴木</t>
    <rPh sb="0" eb="2">
      <t>スズキ</t>
    </rPh>
    <phoneticPr fontId="2"/>
  </si>
  <si>
    <t>断裁(ミシン・ナンバー入れサイズ)</t>
  </si>
  <si>
    <t>甲斐</t>
    <rPh sb="0" eb="2">
      <t>カイ</t>
    </rPh>
    <phoneticPr fontId="2"/>
  </si>
  <si>
    <t>A3</t>
    <phoneticPr fontId="2"/>
  </si>
  <si>
    <t>60×120</t>
    <phoneticPr fontId="2"/>
  </si>
  <si>
    <t>色調整のため、ヤレ紙を別途   92  枚使用しました。</t>
    <rPh sb="0" eb="3">
      <t>イロチョウセイ</t>
    </rPh>
    <rPh sb="9" eb="10">
      <t>ガミ</t>
    </rPh>
    <rPh sb="11" eb="13">
      <t>ベット</t>
    </rPh>
    <rPh sb="20" eb="21">
      <t>マイ</t>
    </rPh>
    <rPh sb="21" eb="23">
      <t>シヨウ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</si>
</sst>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2"/>
      <charset val="128"/>
    </font>
    <font>
      <b/>
      <sz val="24"/>
      <color rgb="FF000000"/>
      <name val="游ゴシック"/>
      <family val="3"/>
      <charset val="128"/>
    </font>
    <font>
      <sz val="11"/>
      <color theme="1"/>
      <name val="Meiryo UI"/>
      <family val="3"/>
      <charset val="128"/>
    </font>
    <font>
      <sz val="11"/>
      <color theme="0" tint="-0.249977111117893"/>
      <name val="Meiryo UI"/>
      <family val="3"/>
      <charset val="128"/>
    </font>
    <font>
      <sz val="11"/>
      <color theme="0" tint="-4.9989318521683403E-2"/>
      <name val="Meiryo UI"/>
      <family val="3"/>
      <charset val="128"/>
    </font>
    <font>
      <sz val="11"/>
      <color theme="2" tint="-0.249977111117893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7"/>
      <color theme="0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</font>
    <font>
      <sz val="14"/>
      <color theme="1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rgb="FF000000"/>
      </patternFill>
    </fill>
  </fills>
  <borders count="2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1" fillId="0" borderId="1" xfId="0" applyFont="1" applyBorder="1">
      <alignment vertical="center"/>
    </xf>
    <xf numFmtId="0" fontId="1" fillId="0" borderId="5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12" xfId="0" applyFont="1" applyBorder="1">
      <alignment vertical="center"/>
    </xf>
    <xf numFmtId="0" fontId="5" fillId="0" borderId="0" xfId="0" applyFont="1">
      <alignment vertical="center"/>
    </xf>
    <xf numFmtId="0" fontId="5" fillId="3" borderId="0" xfId="0" applyFont="1" applyFill="1">
      <alignment vertical="center"/>
    </xf>
    <xf numFmtId="0" fontId="5" fillId="4" borderId="4" xfId="0" applyFont="1" applyFill="1" applyBorder="1">
      <alignment vertical="center"/>
    </xf>
    <xf numFmtId="0" fontId="6" fillId="5" borderId="0" xfId="0" applyFont="1" applyFill="1">
      <alignment vertical="center"/>
    </xf>
    <xf numFmtId="0" fontId="7" fillId="6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7" borderId="4" xfId="0" applyFont="1" applyFill="1" applyBorder="1">
      <alignment vertical="center"/>
    </xf>
    <xf numFmtId="0" fontId="8" fillId="5" borderId="0" xfId="0" applyFont="1" applyFill="1">
      <alignment vertical="center"/>
    </xf>
    <xf numFmtId="0" fontId="5" fillId="0" borderId="0" xfId="0" applyFont="1" applyAlignment="1">
      <alignment horizontal="left" vertical="center" shrinkToFit="1"/>
    </xf>
    <xf numFmtId="0" fontId="5" fillId="8" borderId="4" xfId="0" applyFont="1" applyFill="1" applyBorder="1">
      <alignment vertical="center"/>
    </xf>
    <xf numFmtId="0" fontId="5" fillId="9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4" fontId="1" fillId="0" borderId="0" xfId="0" applyNumberFormat="1" applyFont="1">
      <alignment vertical="center"/>
    </xf>
    <xf numFmtId="0" fontId="0" fillId="10" borderId="0" xfId="0" applyFill="1">
      <alignment vertical="center"/>
    </xf>
    <xf numFmtId="0" fontId="5" fillId="11" borderId="1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1" fillId="0" borderId="14" xfId="0" applyFont="1" applyBorder="1">
      <alignment vertical="center"/>
    </xf>
    <xf numFmtId="176" fontId="13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11" fillId="10" borderId="14" xfId="0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" fillId="0" borderId="4" xfId="0" applyFont="1" applyBorder="1">
      <alignment vertical="center"/>
    </xf>
    <xf numFmtId="14" fontId="14" fillId="0" borderId="0" xfId="0" applyNumberFormat="1" applyFont="1" applyAlignment="1">
      <alignment horizontal="right" vertical="center"/>
    </xf>
    <xf numFmtId="0" fontId="5" fillId="7" borderId="4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15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0" fillId="0" borderId="4" xfId="0" applyBorder="1" applyAlignment="1">
      <alignment horizontal="right" vertical="center"/>
    </xf>
    <xf numFmtId="3" fontId="0" fillId="0" borderId="4" xfId="0" applyNumberFormat="1" applyBorder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56" fontId="5" fillId="7" borderId="4" xfId="0" applyNumberFormat="1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20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11</xdr:row>
          <xdr:rowOff>762000</xdr:rowOff>
        </xdr:from>
        <xdr:to>
          <xdr:col>6</xdr:col>
          <xdr:colOff>428625</xdr:colOff>
          <xdr:row>12</xdr:row>
          <xdr:rowOff>857250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決算書作成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19049</xdr:rowOff>
    </xdr:from>
    <xdr:to>
      <xdr:col>7</xdr:col>
      <xdr:colOff>295275</xdr:colOff>
      <xdr:row>2</xdr:row>
      <xdr:rowOff>276225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ED1A9AF2-BC80-4032-BCDF-3913F552D544}"/>
            </a:ext>
          </a:extLst>
        </xdr:cNvPr>
        <xdr:cNvSpPr/>
      </xdr:nvSpPr>
      <xdr:spPr>
        <a:xfrm>
          <a:off x="2447925" y="19049"/>
          <a:ext cx="3400425" cy="10001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3600" b="0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游明朝 Demibold" panose="02020600000000000000" pitchFamily="18" charset="-128"/>
              <a:ea typeface="游明朝 Demibold" panose="02020600000000000000" pitchFamily="18" charset="-128"/>
              <a:cs typeface="+mn-cs"/>
            </a:rPr>
            <a:t>用紙決算書</a:t>
          </a:r>
          <a:endParaRPr kumimoji="1" lang="en-US" altLang="ja-JP" sz="3600" b="0" i="0" u="none" strike="noStrike" kern="0" cap="none" spc="0" normalizeH="0" baseline="0" noProof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游明朝 Demibold" panose="02020600000000000000" pitchFamily="18" charset="-128"/>
            <a:ea typeface="游明朝 Demibold" panose="02020600000000000000" pitchFamily="18" charset="-128"/>
            <a:cs typeface="+mn-cs"/>
          </a:endParaRPr>
        </a:p>
      </xdr:txBody>
    </xdr:sp>
    <xdr:clientData/>
  </xdr:twoCellAnchor>
  <xdr:twoCellAnchor editAs="oneCell">
    <xdr:from>
      <xdr:col>8</xdr:col>
      <xdr:colOff>161925</xdr:colOff>
      <xdr:row>1</xdr:row>
      <xdr:rowOff>323850</xdr:rowOff>
    </xdr:from>
    <xdr:to>
      <xdr:col>10</xdr:col>
      <xdr:colOff>714375</xdr:colOff>
      <xdr:row>2</xdr:row>
      <xdr:rowOff>286465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F1230AD-4669-425B-9971-79125E91D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561975"/>
          <a:ext cx="2247900" cy="4674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6F34-204F-467C-8292-4D20D043564B}">
  <sheetPr codeName="Sheet4">
    <tabColor theme="7" tint="0.39997558519241921"/>
  </sheetPr>
  <dimension ref="A1:D22"/>
  <sheetViews>
    <sheetView showGridLines="0" topLeftCell="A12" workbookViewId="0">
      <selection activeCell="D17" sqref="D17"/>
    </sheetView>
  </sheetViews>
  <sheetFormatPr defaultRowHeight="15.75" x14ac:dyDescent="0.4"/>
  <cols>
    <col min="1" max="2" width="9" style="12"/>
    <col min="3" max="3" width="45.75" style="12" customWidth="1"/>
    <col min="4" max="16384" width="9" style="12"/>
  </cols>
  <sheetData>
    <row r="1" spans="1:4" s="13" customFormat="1" ht="41.25" customHeight="1" x14ac:dyDescent="0.4">
      <c r="A1" s="13" t="s">
        <v>24</v>
      </c>
    </row>
    <row r="2" spans="1:4" x14ac:dyDescent="0.4">
      <c r="B2" s="12" t="s">
        <v>25</v>
      </c>
    </row>
    <row r="5" spans="1:4" ht="37.5" customHeight="1" x14ac:dyDescent="0.4">
      <c r="B5" s="14" t="s">
        <v>26</v>
      </c>
      <c r="C5" s="21">
        <v>1030694</v>
      </c>
    </row>
    <row r="6" spans="1:4" ht="37.5" customHeight="1" x14ac:dyDescent="0.4">
      <c r="B6" s="14" t="s">
        <v>27</v>
      </c>
      <c r="C6" s="41" t="s">
        <v>167</v>
      </c>
    </row>
    <row r="7" spans="1:4" ht="37.5" customHeight="1" x14ac:dyDescent="0.4">
      <c r="B7" s="14" t="s">
        <v>28</v>
      </c>
      <c r="C7" s="50"/>
      <c r="D7" s="12" t="s">
        <v>29</v>
      </c>
    </row>
    <row r="8" spans="1:4" ht="37.5" customHeight="1" x14ac:dyDescent="0.4">
      <c r="B8" s="14" t="s">
        <v>35</v>
      </c>
      <c r="C8" s="21">
        <v>3</v>
      </c>
      <c r="D8" s="12" t="s">
        <v>42</v>
      </c>
    </row>
    <row r="9" spans="1:4" ht="37.5" customHeight="1" x14ac:dyDescent="0.4">
      <c r="B9" s="14" t="s">
        <v>37</v>
      </c>
      <c r="C9" s="24">
        <f>COUNTA(C12:C21)</f>
        <v>8</v>
      </c>
      <c r="D9" s="12" t="s">
        <v>36</v>
      </c>
    </row>
    <row r="11" spans="1:4" x14ac:dyDescent="0.4">
      <c r="B11" s="14" t="s">
        <v>30</v>
      </c>
      <c r="C11" s="14" t="s">
        <v>31</v>
      </c>
      <c r="D11" s="14" t="s">
        <v>32</v>
      </c>
    </row>
    <row r="12" spans="1:4" ht="69.75" customHeight="1" x14ac:dyDescent="0.4">
      <c r="B12" s="14">
        <v>1</v>
      </c>
      <c r="C12" s="21" t="s">
        <v>157</v>
      </c>
      <c r="D12" s="21" t="s">
        <v>56</v>
      </c>
    </row>
    <row r="13" spans="1:4" ht="69.75" customHeight="1" x14ac:dyDescent="0.4">
      <c r="B13" s="14">
        <v>2</v>
      </c>
      <c r="C13" s="21" t="s">
        <v>71</v>
      </c>
      <c r="D13" s="21" t="s">
        <v>168</v>
      </c>
    </row>
    <row r="14" spans="1:4" ht="69.75" customHeight="1" x14ac:dyDescent="0.4">
      <c r="B14" s="14">
        <v>3</v>
      </c>
      <c r="C14" s="21" t="s">
        <v>169</v>
      </c>
      <c r="D14" s="21" t="s">
        <v>170</v>
      </c>
    </row>
    <row r="15" spans="1:4" ht="69.75" customHeight="1" x14ac:dyDescent="0.4">
      <c r="B15" s="14">
        <v>4</v>
      </c>
      <c r="C15" s="21" t="s">
        <v>151</v>
      </c>
      <c r="D15" s="21" t="s">
        <v>159</v>
      </c>
    </row>
    <row r="16" spans="1:4" ht="69.75" customHeight="1" x14ac:dyDescent="0.4">
      <c r="B16" s="14">
        <v>5</v>
      </c>
      <c r="C16" s="21" t="s">
        <v>123</v>
      </c>
      <c r="D16" s="21" t="s">
        <v>125</v>
      </c>
    </row>
    <row r="17" spans="2:4" ht="69.75" customHeight="1" x14ac:dyDescent="0.4">
      <c r="B17" s="14">
        <v>6</v>
      </c>
      <c r="C17" s="21" t="s">
        <v>111</v>
      </c>
      <c r="D17" s="21" t="s">
        <v>170</v>
      </c>
    </row>
    <row r="18" spans="2:4" ht="69.75" customHeight="1" x14ac:dyDescent="0.4">
      <c r="B18" s="14">
        <v>7</v>
      </c>
      <c r="C18" s="21" t="s">
        <v>142</v>
      </c>
      <c r="D18" s="21" t="s">
        <v>161</v>
      </c>
    </row>
    <row r="19" spans="2:4" ht="69.75" customHeight="1" x14ac:dyDescent="0.4">
      <c r="B19" s="14">
        <v>8</v>
      </c>
      <c r="C19" s="21" t="s">
        <v>63</v>
      </c>
      <c r="D19" s="21" t="s">
        <v>161</v>
      </c>
    </row>
    <row r="20" spans="2:4" ht="69.75" customHeight="1" x14ac:dyDescent="0.4">
      <c r="B20" s="14">
        <v>9</v>
      </c>
      <c r="C20" s="21"/>
      <c r="D20" s="21"/>
    </row>
    <row r="21" spans="2:4" ht="69.75" customHeight="1" x14ac:dyDescent="0.4">
      <c r="B21" s="14">
        <v>10</v>
      </c>
      <c r="C21" s="21"/>
      <c r="D21" s="21"/>
    </row>
    <row r="22" spans="2:4" x14ac:dyDescent="0.4">
      <c r="B22" s="15" t="s">
        <v>33</v>
      </c>
      <c r="C22" s="15" t="s">
        <v>33</v>
      </c>
      <c r="D22" s="15" t="s">
        <v>33</v>
      </c>
    </row>
  </sheetData>
  <phoneticPr fontId="2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main">
                <anchor moveWithCells="1" sizeWithCells="1">
                  <from>
                    <xdr:col>4</xdr:col>
                    <xdr:colOff>285750</xdr:colOff>
                    <xdr:row>11</xdr:row>
                    <xdr:rowOff>762000</xdr:rowOff>
                  </from>
                  <to>
                    <xdr:col>6</xdr:col>
                    <xdr:colOff>428625</xdr:colOff>
                    <xdr:row>12</xdr:row>
                    <xdr:rowOff>857250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57B95-B011-4836-BAD8-A8098B567CC4}">
          <x14:formula1>
            <xm:f>→!$A$1:$A$10</xm:f>
          </x14:formula1>
          <xm:sqref>C8</xm:sqref>
        </x14:dataValidation>
        <x14:dataValidation type="list" allowBlank="1" showInputMessage="1" showErrorMessage="1" xr:uid="{B1061931-F52A-4BF1-92BB-1144B6565C95}">
          <x14:formula1>
            <xm:f>→!$C$1:$C$14</xm:f>
          </x14:formula1>
          <xm:sqref>C12:C21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62D48-552F-4AA1-8824-E532E7C7854A}">
  <sheetPr codeName="Sheet6"/>
  <dimension ref="A1:P131"/>
  <sheetViews>
    <sheetView zoomScaleNormal="100" workbookViewId="0">
      <selection activeCell="J1" sqref="J1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f ca="1">TODAY()</f>
        <v>45121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/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/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/>
    <row r="8" spans="1:16" ht="28.5" customHeight="1" x14ac:dyDescent="0.4"/>
    <row r="9" spans="1:16" ht="28.5" customHeight="1" x14ac:dyDescent="0.4"/>
    <row r="10" spans="1:16" ht="28.5" customHeight="1" x14ac:dyDescent="0.4">
      <c r="B10" s="35"/>
    </row>
    <row r="11" spans="1:16" ht="28.5" customHeight="1" x14ac:dyDescent="0.4">
      <c r="B11" s="35"/>
    </row>
    <row r="12" spans="1:16" ht="28.5" customHeight="1" x14ac:dyDescent="0.4">
      <c r="B12" s="35"/>
    </row>
    <row r="13" spans="1:16" ht="28.5" customHeight="1" x14ac:dyDescent="0.4">
      <c r="B13" s="35"/>
    </row>
    <row r="14" spans="1:16" ht="28.5" customHeight="1" x14ac:dyDescent="0.4">
      <c r="B14" s="35"/>
    </row>
    <row r="15" spans="1:16" ht="28.5" customHeight="1" x14ac:dyDescent="0.4">
      <c r="B15" s="35"/>
    </row>
    <row r="16" spans="1:16" ht="28.5" customHeight="1" x14ac:dyDescent="0.4">
      <c r="B16" s="35"/>
    </row>
    <row r="17" spans="2:2" ht="28.5" customHeight="1" x14ac:dyDescent="0.4">
      <c r="B17" s="35"/>
    </row>
    <row r="18" spans="2:2" ht="28.5" customHeight="1" x14ac:dyDescent="0.4">
      <c r="B18" s="35"/>
    </row>
    <row r="19" spans="2:2" ht="28.5" customHeight="1" x14ac:dyDescent="0.4">
      <c r="B19" s="35"/>
    </row>
    <row r="20" spans="2:2" ht="28.5" customHeight="1" x14ac:dyDescent="0.4">
      <c r="B20" s="35"/>
    </row>
    <row r="21" spans="2:2" ht="28.5" customHeight="1" x14ac:dyDescent="0.4">
      <c r="B21" s="35"/>
    </row>
    <row r="22" spans="2:2" ht="28.5" customHeight="1" x14ac:dyDescent="0.4">
      <c r="B22" s="35"/>
    </row>
    <row r="23" spans="2:2" ht="28.5" customHeight="1" x14ac:dyDescent="0.4">
      <c r="B23" s="35"/>
    </row>
    <row r="24" spans="2:2" ht="28.5" customHeight="1" x14ac:dyDescent="0.4">
      <c r="B24" s="35"/>
    </row>
    <row r="25" spans="2:2" ht="28.5" customHeight="1" x14ac:dyDescent="0.4">
      <c r="B25" s="35"/>
    </row>
    <row r="26" spans="2:2" ht="28.5" customHeight="1" x14ac:dyDescent="0.4">
      <c r="B26" s="35"/>
    </row>
    <row r="27" spans="2:2" ht="28.5" customHeight="1" x14ac:dyDescent="0.4">
      <c r="B27" s="35"/>
    </row>
    <row r="28" spans="2:2" ht="28.5" customHeight="1" x14ac:dyDescent="0.4">
      <c r="B28" s="35"/>
    </row>
    <row r="29" spans="2:2" ht="28.5" customHeight="1" x14ac:dyDescent="0.4">
      <c r="B29" s="35"/>
    </row>
    <row r="30" spans="2:2" ht="28.5" customHeight="1" x14ac:dyDescent="0.4">
      <c r="B30" s="35"/>
    </row>
    <row r="31" spans="2:2" ht="28.5" customHeight="1" x14ac:dyDescent="0.4">
      <c r="B31" s="35"/>
    </row>
    <row r="32" spans="2:2" ht="28.5" customHeight="1" x14ac:dyDescent="0.4">
      <c r="B32" s="35"/>
    </row>
    <row r="33" spans="2:2" ht="28.5" customHeight="1" x14ac:dyDescent="0.4">
      <c r="B33" s="35"/>
    </row>
    <row r="34" spans="2:2" ht="28.5" customHeight="1" x14ac:dyDescent="0.4">
      <c r="B34" s="35"/>
    </row>
    <row r="35" spans="2:2" ht="28.5" customHeight="1" x14ac:dyDescent="0.4">
      <c r="B35" s="35"/>
    </row>
    <row r="36" spans="2:2" ht="28.5" customHeight="1" x14ac:dyDescent="0.4">
      <c r="B36" s="35"/>
    </row>
    <row r="37" spans="2:2" ht="28.5" customHeight="1" x14ac:dyDescent="0.4">
      <c r="B37" s="35"/>
    </row>
    <row r="38" spans="2:2" ht="28.5" customHeight="1" x14ac:dyDescent="0.4">
      <c r="B38" s="35"/>
    </row>
    <row r="39" spans="2:2" ht="28.5" customHeight="1" x14ac:dyDescent="0.4">
      <c r="B39" s="35"/>
    </row>
    <row r="40" spans="2:2" ht="28.5" customHeight="1" x14ac:dyDescent="0.4">
      <c r="B40" s="35"/>
    </row>
    <row r="41" spans="2:2" ht="28.5" customHeight="1" x14ac:dyDescent="0.4">
      <c r="B41" s="35"/>
    </row>
    <row r="42" spans="2:2" ht="28.5" customHeight="1" x14ac:dyDescent="0.4">
      <c r="B42" s="35"/>
    </row>
    <row r="43" spans="2:2" ht="28.5" customHeight="1" x14ac:dyDescent="0.4">
      <c r="B43" s="35"/>
    </row>
    <row r="44" spans="2:2" ht="28.5" customHeight="1" x14ac:dyDescent="0.4">
      <c r="B44" s="35"/>
    </row>
    <row r="45" spans="2:2" ht="28.5" customHeight="1" x14ac:dyDescent="0.4">
      <c r="B45" s="35"/>
    </row>
    <row r="46" spans="2:2" ht="28.5" customHeight="1" x14ac:dyDescent="0.4">
      <c r="B46" s="35"/>
    </row>
    <row r="47" spans="2:2" ht="28.5" customHeight="1" x14ac:dyDescent="0.4">
      <c r="B47" s="35"/>
    </row>
    <row r="48" spans="2:2" ht="28.5" customHeight="1" x14ac:dyDescent="0.4">
      <c r="B48" s="35"/>
    </row>
    <row r="49" spans="2:2" ht="28.5" customHeight="1" x14ac:dyDescent="0.4">
      <c r="B49" s="35"/>
    </row>
    <row r="50" spans="2:2" ht="28.5" customHeight="1" x14ac:dyDescent="0.4">
      <c r="B50" s="35"/>
    </row>
    <row r="51" spans="2:2" ht="28.5" customHeight="1" x14ac:dyDescent="0.4">
      <c r="B51" s="35"/>
    </row>
    <row r="52" spans="2:2" ht="28.5" customHeight="1" x14ac:dyDescent="0.4">
      <c r="B52" s="35"/>
    </row>
    <row r="53" spans="2:2" ht="28.5" customHeight="1" x14ac:dyDescent="0.4">
      <c r="B53" s="35"/>
    </row>
    <row r="54" spans="2:2" ht="28.5" customHeight="1" x14ac:dyDescent="0.4">
      <c r="B54" s="35"/>
    </row>
    <row r="55" spans="2:2" ht="28.5" customHeight="1" x14ac:dyDescent="0.4">
      <c r="B55" s="35"/>
    </row>
    <row r="56" spans="2:2" ht="28.5" customHeight="1" x14ac:dyDescent="0.4">
      <c r="B56" s="35"/>
    </row>
    <row r="57" spans="2:2" ht="28.5" customHeight="1" x14ac:dyDescent="0.4">
      <c r="B57" s="35"/>
    </row>
    <row r="58" spans="2:2" ht="28.5" customHeight="1" x14ac:dyDescent="0.4">
      <c r="B58" s="35"/>
    </row>
    <row r="59" spans="2:2" ht="28.5" customHeight="1" x14ac:dyDescent="0.4">
      <c r="B59" s="35"/>
    </row>
    <row r="60" spans="2:2" ht="28.5" customHeight="1" x14ac:dyDescent="0.4">
      <c r="B60" s="35"/>
    </row>
    <row r="61" spans="2:2" ht="28.5" customHeight="1" x14ac:dyDescent="0.4">
      <c r="B61" s="35"/>
    </row>
    <row r="62" spans="2:2" ht="28.5" customHeight="1" x14ac:dyDescent="0.4">
      <c r="B62" s="35"/>
    </row>
    <row r="63" spans="2:2" ht="28.5" customHeight="1" x14ac:dyDescent="0.4"/>
    <row r="64" spans="2:2" ht="28.5" customHeight="1" x14ac:dyDescent="0.4"/>
    <row r="65" ht="28.5" customHeight="1" x14ac:dyDescent="0.4"/>
    <row r="66" ht="28.5" customHeight="1" x14ac:dyDescent="0.4"/>
    <row r="67" ht="28.5" customHeight="1" x14ac:dyDescent="0.4"/>
    <row r="68" ht="28.5" customHeight="1" x14ac:dyDescent="0.4"/>
    <row r="69" ht="28.5" customHeight="1" x14ac:dyDescent="0.4"/>
    <row r="70" ht="28.5" customHeight="1" x14ac:dyDescent="0.4"/>
    <row r="71" ht="28.5" customHeight="1" x14ac:dyDescent="0.4"/>
    <row r="72" ht="28.5" customHeight="1" x14ac:dyDescent="0.4"/>
    <row r="73" ht="28.5" customHeight="1" x14ac:dyDescent="0.4"/>
    <row r="74" ht="28.5" customHeight="1" x14ac:dyDescent="0.4"/>
    <row r="75" ht="28.5" customHeight="1" x14ac:dyDescent="0.4"/>
    <row r="76" ht="28.5" customHeight="1" x14ac:dyDescent="0.4"/>
    <row r="77" ht="28.5" customHeight="1" x14ac:dyDescent="0.4"/>
    <row r="78" ht="28.5" customHeight="1" x14ac:dyDescent="0.4"/>
    <row r="79" ht="28.5" customHeight="1" x14ac:dyDescent="0.4"/>
    <row r="80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phoneticPr fontId="2"/>
  <pageMargins left="0.7" right="0.7" top="0.75" bottom="0.75" header="0.3" footer="0.3"/>
  <pageSetup paperSize="9" scale="6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098AB-7105-47C6-81BC-3C0BA91D164B}">
  <sheetPr codeName="Sheet7">
    <tabColor theme="7" tint="-0.249977111117893"/>
  </sheetPr>
  <dimension ref="A2:M82"/>
  <sheetViews>
    <sheetView topLeftCell="A16" workbookViewId="0">
      <selection activeCell="C22" sqref="C22"/>
    </sheetView>
  </sheetViews>
  <sheetFormatPr defaultRowHeight="15.75" x14ac:dyDescent="0.4"/>
  <cols>
    <col min="1" max="16384" width="9" style="12"/>
  </cols>
  <sheetData>
    <row r="2" spans="1:13" x14ac:dyDescent="0.4">
      <c r="I2" s="25"/>
      <c r="K2" s="19" t="s">
        <v>11</v>
      </c>
      <c r="M2" s="12" t="s">
        <v>41</v>
      </c>
    </row>
    <row r="3" spans="1:13" x14ac:dyDescent="0.4">
      <c r="A3" s="16" t="s">
        <v>34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3" x14ac:dyDescent="0.4">
      <c r="B4" s="17"/>
      <c r="C4" s="12" t="s">
        <v>38</v>
      </c>
    </row>
    <row r="5" spans="1:13" x14ac:dyDescent="0.4">
      <c r="B5" s="18" t="s">
        <v>2</v>
      </c>
      <c r="C5" s="18" t="s">
        <v>3</v>
      </c>
    </row>
    <row r="6" spans="1:13" x14ac:dyDescent="0.4">
      <c r="B6" s="17" t="s">
        <v>4</v>
      </c>
      <c r="C6" s="17"/>
    </row>
    <row r="7" spans="1:13" x14ac:dyDescent="0.4">
      <c r="B7" s="19" t="s">
        <v>5</v>
      </c>
      <c r="C7" s="19" t="s">
        <v>6</v>
      </c>
      <c r="D7" s="19" t="s">
        <v>7</v>
      </c>
      <c r="E7" s="20" t="s">
        <v>17</v>
      </c>
      <c r="F7" s="19" t="s">
        <v>8</v>
      </c>
      <c r="G7" s="19" t="s">
        <v>9</v>
      </c>
      <c r="H7" s="19" t="s">
        <v>10</v>
      </c>
      <c r="L7" s="12">
        <f>COUNTA(A7:K7)</f>
        <v>7</v>
      </c>
      <c r="M7" s="12" t="s">
        <v>44</v>
      </c>
    </row>
    <row r="8" spans="1:13" x14ac:dyDescent="0.4">
      <c r="A8" s="16" t="s">
        <v>0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3" x14ac:dyDescent="0.4">
      <c r="B9" s="17"/>
      <c r="C9" s="12" t="s">
        <v>12</v>
      </c>
    </row>
    <row r="10" spans="1:13" x14ac:dyDescent="0.4">
      <c r="B10" s="18" t="s">
        <v>2</v>
      </c>
      <c r="C10" s="18" t="s">
        <v>0</v>
      </c>
    </row>
    <row r="11" spans="1:13" x14ac:dyDescent="0.4">
      <c r="B11" s="17" t="s">
        <v>4</v>
      </c>
      <c r="C11" s="17"/>
    </row>
    <row r="12" spans="1:13" x14ac:dyDescent="0.4">
      <c r="B12" s="19" t="s">
        <v>5</v>
      </c>
      <c r="C12" s="20" t="s">
        <v>22</v>
      </c>
      <c r="D12" s="19" t="s">
        <v>13</v>
      </c>
      <c r="E12" s="19" t="s">
        <v>14</v>
      </c>
      <c r="F12" s="20" t="s">
        <v>8</v>
      </c>
      <c r="G12" s="20" t="s">
        <v>15</v>
      </c>
      <c r="H12" s="19" t="s">
        <v>10</v>
      </c>
      <c r="L12" s="12">
        <f>COUNTA(A12:K12)</f>
        <v>7</v>
      </c>
    </row>
    <row r="13" spans="1:13" x14ac:dyDescent="0.4">
      <c r="A13" s="16" t="s">
        <v>60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</row>
    <row r="14" spans="1:13" x14ac:dyDescent="0.4">
      <c r="B14" s="17"/>
      <c r="C14" s="23" t="s">
        <v>23</v>
      </c>
    </row>
    <row r="15" spans="1:13" x14ac:dyDescent="0.4">
      <c r="B15" s="18" t="s">
        <v>2</v>
      </c>
      <c r="C15" s="18" t="s">
        <v>16</v>
      </c>
    </row>
    <row r="16" spans="1:13" x14ac:dyDescent="0.4">
      <c r="B16" s="17" t="s">
        <v>4</v>
      </c>
      <c r="C16" s="17"/>
    </row>
    <row r="17" spans="1:12" x14ac:dyDescent="0.4">
      <c r="B17" s="19" t="s">
        <v>5</v>
      </c>
      <c r="C17" s="19" t="s">
        <v>13</v>
      </c>
      <c r="D17" s="19" t="s">
        <v>17</v>
      </c>
      <c r="E17" s="20" t="s">
        <v>19</v>
      </c>
      <c r="F17" s="19" t="s">
        <v>14</v>
      </c>
      <c r="G17" s="19" t="s">
        <v>18</v>
      </c>
      <c r="L17" s="12">
        <f>COUNTA(A17:K17)</f>
        <v>6</v>
      </c>
    </row>
    <row r="18" spans="1:12" x14ac:dyDescent="0.4">
      <c r="A18" s="16" t="s">
        <v>45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</row>
    <row r="19" spans="1:12" x14ac:dyDescent="0.4">
      <c r="B19" s="17"/>
      <c r="C19" s="23" t="s">
        <v>46</v>
      </c>
    </row>
    <row r="20" spans="1:12" x14ac:dyDescent="0.4">
      <c r="B20" s="18" t="s">
        <v>2</v>
      </c>
      <c r="C20" s="18" t="s">
        <v>16</v>
      </c>
    </row>
    <row r="21" spans="1:12" x14ac:dyDescent="0.4">
      <c r="B21" s="17" t="s">
        <v>4</v>
      </c>
      <c r="C21" s="17"/>
    </row>
    <row r="22" spans="1:12" x14ac:dyDescent="0.4">
      <c r="B22" s="19" t="s">
        <v>5</v>
      </c>
      <c r="C22" s="19" t="s">
        <v>13</v>
      </c>
      <c r="D22" s="19" t="s">
        <v>64</v>
      </c>
      <c r="E22" s="20" t="s">
        <v>14</v>
      </c>
      <c r="F22" s="19" t="s">
        <v>8</v>
      </c>
      <c r="G22" s="19" t="s">
        <v>15</v>
      </c>
      <c r="H22" s="19" t="s">
        <v>18</v>
      </c>
      <c r="L22" s="12">
        <f>COUNTA(A22:K22)</f>
        <v>7</v>
      </c>
    </row>
    <row r="23" spans="1:12" x14ac:dyDescent="0.4">
      <c r="A23" s="16" t="s">
        <v>47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x14ac:dyDescent="0.4">
      <c r="B24" s="17"/>
      <c r="C24" s="23" t="s">
        <v>48</v>
      </c>
    </row>
    <row r="25" spans="1:12" x14ac:dyDescent="0.4">
      <c r="B25" s="18" t="s">
        <v>2</v>
      </c>
      <c r="C25" s="18" t="s">
        <v>49</v>
      </c>
    </row>
    <row r="26" spans="1:12" x14ac:dyDescent="0.4">
      <c r="B26" s="17" t="s">
        <v>4</v>
      </c>
      <c r="C26" s="17"/>
    </row>
    <row r="27" spans="1:12" x14ac:dyDescent="0.4">
      <c r="B27" s="19" t="s">
        <v>5</v>
      </c>
      <c r="C27" s="19" t="s">
        <v>13</v>
      </c>
      <c r="D27" s="19" t="s">
        <v>64</v>
      </c>
      <c r="E27" s="20" t="s">
        <v>19</v>
      </c>
      <c r="F27" s="19" t="s">
        <v>65</v>
      </c>
      <c r="G27" s="19" t="s">
        <v>8</v>
      </c>
      <c r="H27" s="19" t="s">
        <v>15</v>
      </c>
      <c r="I27" s="19" t="s">
        <v>18</v>
      </c>
      <c r="L27" s="12">
        <f>COUNTA(A27:K27)</f>
        <v>8</v>
      </c>
    </row>
    <row r="28" spans="1:12" x14ac:dyDescent="0.4">
      <c r="A28" s="16" t="s">
        <v>59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x14ac:dyDescent="0.4">
      <c r="B29" s="17"/>
      <c r="C29" s="23" t="s">
        <v>23</v>
      </c>
    </row>
    <row r="30" spans="1:12" x14ac:dyDescent="0.4">
      <c r="B30" s="18" t="s">
        <v>2</v>
      </c>
      <c r="C30" s="18" t="s">
        <v>16</v>
      </c>
    </row>
    <row r="31" spans="1:12" x14ac:dyDescent="0.4">
      <c r="B31" s="17" t="s">
        <v>4</v>
      </c>
      <c r="C31" s="17"/>
    </row>
    <row r="32" spans="1:12" x14ac:dyDescent="0.4">
      <c r="B32" s="19" t="s">
        <v>5</v>
      </c>
      <c r="C32" s="19" t="s">
        <v>13</v>
      </c>
      <c r="D32" s="19" t="s">
        <v>17</v>
      </c>
      <c r="E32" s="20" t="s">
        <v>19</v>
      </c>
      <c r="F32" s="19" t="s">
        <v>14</v>
      </c>
      <c r="G32" s="19" t="s">
        <v>8</v>
      </c>
      <c r="H32" s="19" t="s">
        <v>15</v>
      </c>
      <c r="I32" s="19" t="s">
        <v>18</v>
      </c>
      <c r="L32" s="12">
        <f>COUNTA(A32:K32)</f>
        <v>8</v>
      </c>
    </row>
    <row r="33" spans="1:12" x14ac:dyDescent="0.4">
      <c r="A33" s="16" t="s">
        <v>50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x14ac:dyDescent="0.4">
      <c r="B34" s="17"/>
      <c r="C34" s="23" t="s">
        <v>51</v>
      </c>
    </row>
    <row r="35" spans="1:12" x14ac:dyDescent="0.4">
      <c r="B35" s="18" t="s">
        <v>2</v>
      </c>
      <c r="C35" s="18" t="s">
        <v>16</v>
      </c>
    </row>
    <row r="36" spans="1:12" x14ac:dyDescent="0.4">
      <c r="B36" s="17" t="s">
        <v>4</v>
      </c>
      <c r="C36" s="17"/>
    </row>
    <row r="37" spans="1:12" x14ac:dyDescent="0.4">
      <c r="B37" s="19" t="s">
        <v>5</v>
      </c>
      <c r="C37" s="19" t="s">
        <v>13</v>
      </c>
      <c r="D37" s="19" t="s">
        <v>17</v>
      </c>
      <c r="E37" s="20" t="s">
        <v>19</v>
      </c>
      <c r="F37" s="19" t="s">
        <v>14</v>
      </c>
      <c r="G37" s="19" t="s">
        <v>18</v>
      </c>
      <c r="L37" s="12">
        <f>COUNTA(A37:K37)</f>
        <v>6</v>
      </c>
    </row>
    <row r="38" spans="1:12" x14ac:dyDescent="0.4">
      <c r="A38" s="16" t="s">
        <v>52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x14ac:dyDescent="0.4">
      <c r="B39" s="17"/>
      <c r="C39" s="23" t="s">
        <v>53</v>
      </c>
    </row>
    <row r="40" spans="1:12" x14ac:dyDescent="0.4">
      <c r="B40" s="18" t="s">
        <v>2</v>
      </c>
      <c r="C40" s="18" t="s">
        <v>16</v>
      </c>
    </row>
    <row r="41" spans="1:12" x14ac:dyDescent="0.4">
      <c r="B41" s="17" t="s">
        <v>4</v>
      </c>
      <c r="C41" s="17"/>
    </row>
    <row r="42" spans="1:12" x14ac:dyDescent="0.4"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8</v>
      </c>
      <c r="G42" s="19" t="s">
        <v>18</v>
      </c>
      <c r="L42" s="12">
        <f>COUNTA(A42:K42)</f>
        <v>6</v>
      </c>
    </row>
    <row r="43" spans="1:12" x14ac:dyDescent="0.4">
      <c r="A43" s="16" t="s">
        <v>54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x14ac:dyDescent="0.4">
      <c r="B44" s="17"/>
      <c r="C44" s="23" t="s">
        <v>54</v>
      </c>
    </row>
    <row r="45" spans="1:12" x14ac:dyDescent="0.4">
      <c r="B45" s="18" t="s">
        <v>2</v>
      </c>
      <c r="C45" s="18" t="s">
        <v>16</v>
      </c>
    </row>
    <row r="46" spans="1:12" x14ac:dyDescent="0.4">
      <c r="B46" s="17" t="s">
        <v>4</v>
      </c>
      <c r="C46" s="17"/>
    </row>
    <row r="47" spans="1:12" x14ac:dyDescent="0.4">
      <c r="B47" s="19" t="s">
        <v>5</v>
      </c>
      <c r="C47" s="19" t="s">
        <v>13</v>
      </c>
      <c r="D47" s="19" t="s">
        <v>97</v>
      </c>
      <c r="E47" s="20" t="s">
        <v>8</v>
      </c>
      <c r="F47" s="19" t="s">
        <v>15</v>
      </c>
      <c r="G47" s="19" t="s">
        <v>18</v>
      </c>
      <c r="L47" s="12">
        <f>COUNTA(A47:K47)</f>
        <v>6</v>
      </c>
    </row>
    <row r="48" spans="1:12" x14ac:dyDescent="0.4">
      <c r="A48" s="16" t="s">
        <v>55</v>
      </c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x14ac:dyDescent="0.4">
      <c r="B49" s="17"/>
      <c r="C49" s="23" t="s">
        <v>55</v>
      </c>
    </row>
    <row r="50" spans="1:12" x14ac:dyDescent="0.4">
      <c r="B50" s="18" t="s">
        <v>2</v>
      </c>
      <c r="C50" s="18" t="s">
        <v>16</v>
      </c>
    </row>
    <row r="51" spans="1:12" x14ac:dyDescent="0.4">
      <c r="B51" s="17" t="s">
        <v>4</v>
      </c>
      <c r="C51" s="17"/>
    </row>
    <row r="52" spans="1:12" x14ac:dyDescent="0.4">
      <c r="B52" s="19" t="s">
        <v>5</v>
      </c>
      <c r="C52" s="19" t="s">
        <v>13</v>
      </c>
      <c r="D52" s="19" t="s">
        <v>66</v>
      </c>
      <c r="E52" s="20" t="s">
        <v>8</v>
      </c>
      <c r="F52" s="19" t="s">
        <v>15</v>
      </c>
      <c r="G52" s="19" t="s">
        <v>67</v>
      </c>
      <c r="H52" s="30"/>
      <c r="L52" s="12">
        <f>COUNTA(A52:K52)</f>
        <v>6</v>
      </c>
    </row>
    <row r="53" spans="1:12" x14ac:dyDescent="0.4">
      <c r="A53" s="16" t="s">
        <v>131</v>
      </c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x14ac:dyDescent="0.4">
      <c r="B54" s="17"/>
      <c r="C54" s="23" t="s">
        <v>131</v>
      </c>
    </row>
    <row r="55" spans="1:12" x14ac:dyDescent="0.4">
      <c r="B55" s="18" t="s">
        <v>2</v>
      </c>
      <c r="C55" s="18" t="s">
        <v>16</v>
      </c>
    </row>
    <row r="56" spans="1:12" x14ac:dyDescent="0.4">
      <c r="B56" s="17" t="s">
        <v>4</v>
      </c>
      <c r="C56" s="17"/>
    </row>
    <row r="57" spans="1:12" x14ac:dyDescent="0.4">
      <c r="B57" s="19" t="s">
        <v>5</v>
      </c>
      <c r="C57" s="19" t="s">
        <v>13</v>
      </c>
      <c r="D57" s="19" t="s">
        <v>64</v>
      </c>
      <c r="E57" s="20" t="s">
        <v>8</v>
      </c>
      <c r="F57" s="19" t="s">
        <v>15</v>
      </c>
      <c r="G57" s="19" t="s">
        <v>18</v>
      </c>
      <c r="L57" s="12">
        <f>COUNTA(A57:K57)</f>
        <v>6</v>
      </c>
    </row>
    <row r="58" spans="1:12" x14ac:dyDescent="0.4">
      <c r="A58" s="16" t="s">
        <v>61</v>
      </c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x14ac:dyDescent="0.4">
      <c r="B59" s="17"/>
      <c r="C59" s="23" t="s">
        <v>62</v>
      </c>
    </row>
    <row r="60" spans="1:12" x14ac:dyDescent="0.4">
      <c r="B60" s="18" t="s">
        <v>2</v>
      </c>
      <c r="C60" s="18" t="s">
        <v>16</v>
      </c>
    </row>
    <row r="61" spans="1:12" x14ac:dyDescent="0.4">
      <c r="B61" s="17" t="s">
        <v>4</v>
      </c>
      <c r="C61" s="17"/>
    </row>
    <row r="62" spans="1:12" x14ac:dyDescent="0.4">
      <c r="B62" s="19" t="s">
        <v>5</v>
      </c>
      <c r="C62" s="19" t="s">
        <v>13</v>
      </c>
      <c r="D62" s="19" t="s">
        <v>14</v>
      </c>
      <c r="E62" s="20" t="s">
        <v>8</v>
      </c>
      <c r="F62" s="19" t="s">
        <v>15</v>
      </c>
      <c r="G62" s="19" t="s">
        <v>18</v>
      </c>
      <c r="L62" s="12">
        <f>COUNTA(A62:K62)</f>
        <v>6</v>
      </c>
    </row>
    <row r="63" spans="1:12" x14ac:dyDescent="0.4">
      <c r="A63" s="16" t="s">
        <v>68</v>
      </c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x14ac:dyDescent="0.4">
      <c r="B64" s="17"/>
      <c r="C64" s="12" t="s">
        <v>69</v>
      </c>
    </row>
    <row r="65" spans="1:12" x14ac:dyDescent="0.4">
      <c r="B65" s="18" t="s">
        <v>2</v>
      </c>
      <c r="C65" s="18" t="s">
        <v>0</v>
      </c>
    </row>
    <row r="66" spans="1:12" x14ac:dyDescent="0.4">
      <c r="B66" s="17" t="s">
        <v>4</v>
      </c>
      <c r="C66" s="17"/>
    </row>
    <row r="67" spans="1:12" x14ac:dyDescent="0.4">
      <c r="B67" s="19" t="s">
        <v>5</v>
      </c>
      <c r="C67" s="20" t="s">
        <v>22</v>
      </c>
      <c r="D67" s="19" t="s">
        <v>13</v>
      </c>
      <c r="E67" s="19" t="s">
        <v>14</v>
      </c>
      <c r="F67" s="20" t="s">
        <v>8</v>
      </c>
      <c r="G67" s="20" t="s">
        <v>15</v>
      </c>
      <c r="H67" s="19" t="s">
        <v>10</v>
      </c>
      <c r="L67" s="12">
        <f>COUNTA(A67:K67)</f>
        <v>7</v>
      </c>
    </row>
    <row r="68" spans="1:12" x14ac:dyDescent="0.4">
      <c r="A68" s="16" t="s">
        <v>120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x14ac:dyDescent="0.4">
      <c r="B69" s="17"/>
      <c r="C69" s="23" t="s">
        <v>120</v>
      </c>
    </row>
    <row r="70" spans="1:12" x14ac:dyDescent="0.4">
      <c r="B70" s="18" t="s">
        <v>2</v>
      </c>
      <c r="C70" s="18" t="s">
        <v>16</v>
      </c>
    </row>
    <row r="71" spans="1:12" x14ac:dyDescent="0.4">
      <c r="B71" s="17" t="s">
        <v>4</v>
      </c>
      <c r="C71" s="17"/>
    </row>
    <row r="72" spans="1:12" x14ac:dyDescent="0.4">
      <c r="B72" s="19" t="s">
        <v>5</v>
      </c>
      <c r="C72" s="19" t="s">
        <v>13</v>
      </c>
      <c r="D72" s="19" t="s">
        <v>17</v>
      </c>
      <c r="E72" s="20" t="s">
        <v>8</v>
      </c>
      <c r="F72" s="19" t="s">
        <v>15</v>
      </c>
      <c r="G72" s="19" t="s">
        <v>18</v>
      </c>
      <c r="L72" s="12">
        <f>COUNTA(A72:K72)</f>
        <v>6</v>
      </c>
    </row>
    <row r="82" spans="1:12" x14ac:dyDescent="0.4">
      <c r="A82" s="22" t="s">
        <v>33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DD5B-992C-4E85-85A0-FCD9A7BD57EF}">
  <sheetPr codeName="Sheet2">
    <tabColor theme="7" tint="-0.249977111117893"/>
  </sheetPr>
  <dimension ref="B1:H7"/>
  <sheetViews>
    <sheetView workbookViewId="0">
      <selection activeCell="M28" sqref="M28"/>
    </sheetView>
  </sheetViews>
  <sheetFormatPr defaultRowHeight="18.75" x14ac:dyDescent="0.4"/>
  <sheetData>
    <row r="1" spans="2:8" ht="19.5" thickBot="1" x14ac:dyDescent="0.45"/>
    <row r="2" spans="2:8" x14ac:dyDescent="0.4">
      <c r="B2" s="4" t="s">
        <v>20</v>
      </c>
      <c r="C2" s="5"/>
      <c r="D2" s="5"/>
      <c r="E2" s="5"/>
      <c r="F2" s="5"/>
      <c r="G2" s="5"/>
      <c r="H2" s="6"/>
    </row>
    <row r="3" spans="2:8" x14ac:dyDescent="0.4">
      <c r="B3" s="7"/>
      <c r="C3" t="s">
        <v>43</v>
      </c>
      <c r="D3" s="1"/>
      <c r="E3" s="1"/>
      <c r="F3" s="1"/>
      <c r="G3" s="1"/>
      <c r="H3" s="8"/>
    </row>
    <row r="4" spans="2:8" x14ac:dyDescent="0.4">
      <c r="B4" s="7"/>
      <c r="C4" t="s">
        <v>21</v>
      </c>
      <c r="D4" s="1"/>
      <c r="E4" s="1"/>
      <c r="F4" s="1"/>
      <c r="G4" s="1"/>
      <c r="H4" s="8"/>
    </row>
    <row r="5" spans="2:8" x14ac:dyDescent="0.4">
      <c r="B5" s="7"/>
      <c r="C5" s="1"/>
      <c r="D5" s="1"/>
      <c r="E5" s="1"/>
      <c r="F5" s="1"/>
      <c r="G5" s="1"/>
      <c r="H5" s="8"/>
    </row>
    <row r="6" spans="2:8" x14ac:dyDescent="0.4">
      <c r="B6" s="7"/>
      <c r="C6" s="1"/>
      <c r="D6" s="1"/>
      <c r="E6" s="1"/>
      <c r="F6" s="1"/>
      <c r="G6" s="1"/>
      <c r="H6" s="8"/>
    </row>
    <row r="7" spans="2:8" ht="19.5" thickBot="1" x14ac:dyDescent="0.45">
      <c r="B7" s="9"/>
      <c r="C7" s="10"/>
      <c r="D7" s="10"/>
      <c r="E7" s="10"/>
      <c r="F7" s="10"/>
      <c r="G7" s="10"/>
      <c r="H7" s="11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6B74-105D-432F-974B-3BDC84CACAC1}">
  <sheetPr codeName="Sheet3">
    <tabColor theme="9" tint="-0.249977111117893"/>
  </sheetPr>
  <dimension ref="A1:C26"/>
  <sheetViews>
    <sheetView workbookViewId="0">
      <selection activeCell="E10" sqref="E10"/>
    </sheetView>
  </sheetViews>
  <sheetFormatPr defaultRowHeight="18.75" x14ac:dyDescent="0.4"/>
  <sheetData>
    <row r="1" spans="1:3" x14ac:dyDescent="0.4">
      <c r="A1">
        <v>1</v>
      </c>
      <c r="B1" t="str" cm="1">
        <f t="array" ref="B1">IFERROR(INDEX(Item!A:A,SMALL(IF(Item!A:A&lt;&gt;"",ROW(Item!A:A)),ROW())),"")</f>
        <v>資材断裁</v>
      </c>
      <c r="C1" s="29"/>
    </row>
    <row r="2" spans="1:3" x14ac:dyDescent="0.4">
      <c r="A2">
        <v>2</v>
      </c>
      <c r="B2" t="str" cm="1">
        <f t="array" ref="B2">IFERROR(INDEX(Item!A:A,SMALL(IF(Item!A:A&lt;&gt;"",ROW(Item!A:A)),ROW())),"")</f>
        <v>印刷</v>
      </c>
      <c r="C2" s="29" t="str">
        <f>B1</f>
        <v>資材断裁</v>
      </c>
    </row>
    <row r="3" spans="1:3" x14ac:dyDescent="0.4">
      <c r="A3">
        <v>3</v>
      </c>
      <c r="B3" t="str" cm="1">
        <f t="array" ref="B3">IFERROR(INDEX(Item!A:A,SMALL(IF(Item!A:A&lt;&gt;"",ROW(Item!A:A)),ROW())),"")</f>
        <v>断裁(ミシン・ナンバー入れサイズ)</v>
      </c>
      <c r="C3" s="29" t="str">
        <f t="shared" ref="C3:C14" si="0">B2</f>
        <v>印刷</v>
      </c>
    </row>
    <row r="4" spans="1:3" x14ac:dyDescent="0.4">
      <c r="A4">
        <v>4</v>
      </c>
      <c r="B4" t="str" cm="1">
        <f t="array" ref="B4">IFERROR(INDEX(Item!A:A,SMALL(IF(Item!A:A&lt;&gt;"",ROW(Item!A:A)),ROW())),"")</f>
        <v>ミシン(計数含む)</v>
      </c>
      <c r="C4" s="29" t="str">
        <f t="shared" si="0"/>
        <v>断裁(ミシン・ナンバー入れサイズ)</v>
      </c>
    </row>
    <row r="5" spans="1:3" x14ac:dyDescent="0.4">
      <c r="A5">
        <v>5</v>
      </c>
      <c r="B5" t="str" cm="1">
        <f t="array" ref="B5">IFERROR(INDEX(Item!A:A,SMALL(IF(Item!A:A&lt;&gt;"",ROW(Item!A:A)),ROW())),"")</f>
        <v>ナンバリング</v>
      </c>
      <c r="C5" s="29" t="str">
        <f t="shared" si="0"/>
        <v>ミシン(計数含む)</v>
      </c>
    </row>
    <row r="6" spans="1:3" x14ac:dyDescent="0.4">
      <c r="A6">
        <v>6</v>
      </c>
      <c r="B6" t="str" cm="1">
        <f t="array" ref="B6">IFERROR(INDEX(Item!A:A,SMALL(IF(Item!A:A&lt;&gt;"",ROW(Item!A:A)),ROW())),"")</f>
        <v>断裁(製本サイズ)</v>
      </c>
      <c r="C6" s="29" t="str">
        <f t="shared" si="0"/>
        <v>ナンバリング</v>
      </c>
    </row>
    <row r="7" spans="1:3" x14ac:dyDescent="0.4">
      <c r="A7">
        <v>7</v>
      </c>
      <c r="B7" t="str" cm="1">
        <f t="array" ref="B7">IFERROR(INDEX(Item!A:A,SMALL(IF(Item!A:A&lt;&gt;"",ROW(Item!A:A)),ROW())),"")</f>
        <v>クロス</v>
      </c>
      <c r="C7" s="29" t="str">
        <f t="shared" si="0"/>
        <v>断裁(製本サイズ)</v>
      </c>
    </row>
    <row r="8" spans="1:3" x14ac:dyDescent="0.4">
      <c r="A8">
        <v>8</v>
      </c>
      <c r="B8" t="str" cm="1">
        <f t="array" ref="B8">IFERROR(INDEX(Item!A:A,SMALL(IF(Item!A:A&lt;&gt;"",ROW(Item!A:A)),ROW())),"")</f>
        <v>仕上げ断裁</v>
      </c>
      <c r="C8" s="29" t="str">
        <f t="shared" si="0"/>
        <v>クロス</v>
      </c>
    </row>
    <row r="9" spans="1:3" x14ac:dyDescent="0.4">
      <c r="A9">
        <v>9</v>
      </c>
      <c r="B9" t="str" cm="1">
        <f t="array" ref="B9">IFERROR(INDEX(Item!A:A,SMALL(IF(Item!A:A&lt;&gt;"",ROW(Item!A:A)),ROW())),"")</f>
        <v>計測</v>
      </c>
      <c r="C9" s="29" t="str">
        <f t="shared" si="0"/>
        <v>仕上げ断裁</v>
      </c>
    </row>
    <row r="10" spans="1:3" x14ac:dyDescent="0.4">
      <c r="A10">
        <v>10</v>
      </c>
      <c r="B10" t="str" cm="1">
        <f t="array" ref="B10">IFERROR(INDEX(Item!A:A,SMALL(IF(Item!A:A&lt;&gt;"",ROW(Item!A:A)),ROW())),"")</f>
        <v>包装</v>
      </c>
      <c r="C10" s="29" t="str">
        <f t="shared" si="0"/>
        <v>計測</v>
      </c>
    </row>
    <row r="11" spans="1:3" x14ac:dyDescent="0.4">
      <c r="A11">
        <v>11</v>
      </c>
      <c r="B11" t="str" cm="1">
        <f t="array" ref="B11">IFERROR(INDEX(Item!A:A,SMALL(IF(Item!A:A&lt;&gt;"",ROW(Item!A:A)),ROW())),"")</f>
        <v>折り</v>
      </c>
      <c r="C11" s="29" t="str">
        <f t="shared" si="0"/>
        <v>包装</v>
      </c>
    </row>
    <row r="12" spans="1:3" x14ac:dyDescent="0.4">
      <c r="A12">
        <v>12</v>
      </c>
      <c r="B12" t="str" cm="1">
        <f t="array" ref="B12">IFERROR(INDEX(Item!A:A,SMALL(IF(Item!A:A&lt;&gt;"",ROW(Item!A:A)),ROW())),"")</f>
        <v>計数機</v>
      </c>
      <c r="C12" s="29" t="str">
        <f t="shared" si="0"/>
        <v>折り</v>
      </c>
    </row>
    <row r="13" spans="1:3" x14ac:dyDescent="0.4">
      <c r="A13">
        <v>13</v>
      </c>
      <c r="B13" t="str" cm="1">
        <f t="array" ref="B13">IFERROR(INDEX(Item!A:A,SMALL(IF(Item!A:A&lt;&gt;"",ROW(Item!A:A)),ROW())),"")</f>
        <v>検査</v>
      </c>
      <c r="C13" s="29" t="str">
        <f t="shared" si="0"/>
        <v>計数機</v>
      </c>
    </row>
    <row r="14" spans="1:3" x14ac:dyDescent="0.4">
      <c r="A14">
        <v>14</v>
      </c>
      <c r="B14" t="str" cm="1">
        <f t="array" ref="B14">IFERROR(INDEX(Item!A:A,SMALL(IF(Item!A:A&lt;&gt;"",ROW(Item!A:A)),ROW())),"")</f>
        <v>製本</v>
      </c>
      <c r="C14" s="29" t="str">
        <f t="shared" si="0"/>
        <v>検査</v>
      </c>
    </row>
    <row r="15" spans="1:3" x14ac:dyDescent="0.4">
      <c r="B15" t="str" cm="1">
        <f t="array" ref="B15">IFERROR(INDEX(Item!A:A,SMALL(IF(Item!A:A&lt;&gt;"",ROW(Item!A:A)),ROW())),"")</f>
        <v>EOF</v>
      </c>
    </row>
    <row r="16" spans="1:3" x14ac:dyDescent="0.4">
      <c r="B16" t="str" cm="1">
        <f t="array" ref="B16">IFERROR(INDEX(Item!A:A,SMALL(IF(Item!A:A&lt;&gt;"",ROW(Item!A:A)),ROW())),"")</f>
        <v/>
      </c>
    </row>
    <row r="17" spans="2:2" x14ac:dyDescent="0.4">
      <c r="B17" t="str" cm="1">
        <f t="array" ref="B17">IFERROR(INDEX(Item!A:A,SMALL(IF(Item!A:A&lt;&gt;"",ROW(Item!A:A)),ROW())),"")</f>
        <v/>
      </c>
    </row>
    <row r="18" spans="2:2" x14ac:dyDescent="0.4">
      <c r="B18" t="str" cm="1">
        <f t="array" ref="B18">IFERROR(INDEX(Item!A:A,SMALL(IF(Item!A:A&lt;&gt;"",ROW(Item!A:A)),ROW())),"")</f>
        <v/>
      </c>
    </row>
    <row r="19" spans="2:2" x14ac:dyDescent="0.4">
      <c r="B19" t="str" cm="1">
        <f t="array" ref="B19">IFERROR(INDEX(Item!A:A,SMALL(IF(Item!A:A&lt;&gt;"",ROW(Item!A:A)),ROW())),"")</f>
        <v/>
      </c>
    </row>
    <row r="20" spans="2:2" x14ac:dyDescent="0.4">
      <c r="B20" t="str" cm="1">
        <f t="array" ref="B20">IFERROR(INDEX(Item!A:A,SMALL(IF(Item!A:A&lt;&gt;"",ROW(Item!A:A)),ROW())),"")</f>
        <v/>
      </c>
    </row>
    <row r="21" spans="2:2" x14ac:dyDescent="0.4">
      <c r="B21" t="str" cm="1">
        <f t="array" ref="B21">IFERROR(INDEX(Item!A:A,SMALL(IF(Item!A:A&lt;&gt;"",ROW(Item!A:A)),ROW())),"")</f>
        <v/>
      </c>
    </row>
    <row r="22" spans="2:2" x14ac:dyDescent="0.4">
      <c r="B22" t="str" cm="1">
        <f t="array" ref="B22">IFERROR(INDEX(Item!A:A,SMALL(IF(Item!A:A&lt;&gt;"",ROW(Item!A:A)),ROW())),"")</f>
        <v/>
      </c>
    </row>
    <row r="23" spans="2:2" x14ac:dyDescent="0.4">
      <c r="B23" t="str" cm="1">
        <f t="array" ref="B23">IFERROR(INDEX(Item!A:A,SMALL(IF(Item!A:A&lt;&gt;"",ROW(Item!A:A)),ROW())),"")</f>
        <v/>
      </c>
    </row>
    <row r="24" spans="2:2" x14ac:dyDescent="0.4">
      <c r="B24" t="str" cm="1">
        <f t="array" ref="B24">IFERROR(INDEX(Item!A:A,SMALL(IF(Item!A:A&lt;&gt;"",ROW(Item!A:A)),ROW())),"")</f>
        <v/>
      </c>
    </row>
    <row r="25" spans="2:2" x14ac:dyDescent="0.4">
      <c r="B25" t="str" cm="1">
        <f t="array" ref="B25">IFERROR(INDEX(Item!A:A,SMALL(IF(Item!A:A&lt;&gt;"",ROW(Item!A:A)),ROW())),"")</f>
        <v/>
      </c>
    </row>
    <row r="26" spans="2:2" x14ac:dyDescent="0.4">
      <c r="B26" t="str" cm="1">
        <f t="array" ref="B26">IFERROR(INDEX(Item!A:A,SMALL(IF(Item!A:A&lt;&gt;"",ROW(Item!A:A)),ROW())),"")</f>
        <v/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63D8E-5B0A-44C2-BD0F-EF3444A8C8AD}">
  <sheetPr codeName="Sheet8"/>
  <dimension ref="A1:P131"/>
  <sheetViews>
    <sheetView topLeftCell="A25" zoomScaleNormal="100" workbookViewId="0">
      <selection activeCell="G35" sqref="G35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45022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1" customHeight="1" thickBot="1" x14ac:dyDescent="0.45">
      <c r="B4" s="3" t="s">
        <v>39</v>
      </c>
      <c r="C4" s="3">
        <v>1029487</v>
      </c>
      <c r="D4" s="3"/>
      <c r="E4" s="1"/>
      <c r="G4" s="26"/>
      <c r="J4" s="36" t="s">
        <v>57</v>
      </c>
      <c r="K4" s="38" t="s">
        <v>58</v>
      </c>
      <c r="P4" s="37"/>
    </row>
    <row r="5" spans="1:16" ht="55.5" customHeight="1" thickTop="1" thickBot="1" x14ac:dyDescent="0.45">
      <c r="A5" s="1"/>
      <c r="B5" s="3" t="s">
        <v>40</v>
      </c>
      <c r="C5" s="3" t="s">
        <v>70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23" t="s">
        <v>23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16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86</v>
      </c>
      <c r="D10" s="19" t="s">
        <v>17</v>
      </c>
      <c r="E10" s="20" t="s">
        <v>19</v>
      </c>
      <c r="F10" s="19" t="s">
        <v>14</v>
      </c>
      <c r="G10" s="19" t="s">
        <v>8</v>
      </c>
      <c r="H10" s="19" t="s">
        <v>15</v>
      </c>
      <c r="I10" s="19" t="s">
        <v>18</v>
      </c>
      <c r="K10" s="19" t="s">
        <v>11</v>
      </c>
    </row>
    <row r="11" spans="1:16" ht="28.5" customHeight="1" x14ac:dyDescent="0.4">
      <c r="B11" s="42" t="s">
        <v>85</v>
      </c>
      <c r="C11" s="42" t="s">
        <v>87</v>
      </c>
      <c r="D11" s="42" t="s">
        <v>88</v>
      </c>
      <c r="E11" s="43"/>
      <c r="F11" s="43">
        <v>250</v>
      </c>
      <c r="G11" s="43">
        <v>0</v>
      </c>
      <c r="H11" s="43"/>
      <c r="I11" s="43">
        <v>500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I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  <c r="I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72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89</v>
      </c>
      <c r="C19" s="42" t="s">
        <v>88</v>
      </c>
      <c r="D19" s="43">
        <v>500</v>
      </c>
      <c r="E19" s="43">
        <v>499</v>
      </c>
      <c r="F19" s="43">
        <v>1</v>
      </c>
      <c r="G19" s="43"/>
      <c r="H19" s="43">
        <v>499</v>
      </c>
      <c r="K19" s="51"/>
    </row>
    <row r="20" spans="1:11" ht="28.5" customHeight="1" x14ac:dyDescent="0.4">
      <c r="B20" s="42" t="s">
        <v>90</v>
      </c>
      <c r="C20" s="42" t="s">
        <v>88</v>
      </c>
      <c r="D20" s="43">
        <v>499</v>
      </c>
      <c r="E20" s="43">
        <v>454</v>
      </c>
      <c r="F20" s="43">
        <v>45</v>
      </c>
      <c r="G20" s="43"/>
      <c r="H20" s="43">
        <v>454</v>
      </c>
      <c r="K20" s="52"/>
    </row>
    <row r="21" spans="1:11" ht="28.5" customHeight="1" x14ac:dyDescent="0.4">
      <c r="B21" s="42" t="s">
        <v>91</v>
      </c>
      <c r="C21" s="42" t="s">
        <v>88</v>
      </c>
      <c r="D21" s="43">
        <v>454</v>
      </c>
      <c r="E21" s="43">
        <v>432</v>
      </c>
      <c r="F21" s="43">
        <v>22</v>
      </c>
      <c r="G21" s="43"/>
      <c r="H21" s="43">
        <v>432</v>
      </c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23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73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17</v>
      </c>
      <c r="E26" s="20" t="s">
        <v>19</v>
      </c>
      <c r="F26" s="19" t="s">
        <v>14</v>
      </c>
      <c r="G26" s="19" t="s">
        <v>18</v>
      </c>
      <c r="H26" s="12"/>
      <c r="I26" s="12"/>
      <c r="K26" s="19" t="s">
        <v>11</v>
      </c>
    </row>
    <row r="27" spans="1:11" ht="28.5" customHeight="1" x14ac:dyDescent="0.4">
      <c r="B27" s="42" t="s">
        <v>85</v>
      </c>
      <c r="C27" s="43">
        <v>432</v>
      </c>
      <c r="D27" s="42" t="s">
        <v>88</v>
      </c>
      <c r="E27" s="43">
        <v>6</v>
      </c>
      <c r="F27" s="43">
        <v>432</v>
      </c>
      <c r="G27" s="43">
        <v>864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74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16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76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64</v>
      </c>
      <c r="E34" s="20" t="s">
        <v>8</v>
      </c>
      <c r="F34" s="19" t="s">
        <v>15</v>
      </c>
      <c r="G34" s="19" t="s">
        <v>99</v>
      </c>
      <c r="H34" s="30"/>
      <c r="I34" s="12"/>
      <c r="K34" s="19" t="s">
        <v>11</v>
      </c>
    </row>
    <row r="35" spans="1:11" ht="28.5" customHeight="1" x14ac:dyDescent="0.4">
      <c r="B35" s="42"/>
      <c r="C35" s="43">
        <v>864</v>
      </c>
      <c r="D35" s="42" t="s">
        <v>92</v>
      </c>
      <c r="E35" s="43">
        <v>26</v>
      </c>
      <c r="F35" s="43"/>
      <c r="G35" s="43">
        <v>838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53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16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75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15</v>
      </c>
      <c r="G42" s="19" t="s">
        <v>18</v>
      </c>
      <c r="H42" s="12"/>
      <c r="I42" s="12"/>
      <c r="K42" s="19" t="s">
        <v>11</v>
      </c>
    </row>
    <row r="43" spans="1:11" ht="28.5" customHeight="1" x14ac:dyDescent="0.4">
      <c r="B43" s="42"/>
      <c r="C43" s="43">
        <v>838</v>
      </c>
      <c r="D43" s="42" t="s">
        <v>93</v>
      </c>
      <c r="E43" s="43">
        <v>3</v>
      </c>
      <c r="F43" s="43">
        <v>714</v>
      </c>
      <c r="G43" s="43">
        <v>1800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54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76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97</v>
      </c>
      <c r="E50" s="20" t="s">
        <v>8</v>
      </c>
      <c r="F50" s="19" t="s">
        <v>15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 t="s">
        <v>94</v>
      </c>
      <c r="C51" s="43">
        <v>1781</v>
      </c>
      <c r="D51" s="43">
        <v>1000</v>
      </c>
      <c r="E51" s="43">
        <v>75</v>
      </c>
      <c r="F51" s="43">
        <v>706</v>
      </c>
      <c r="G51" s="43">
        <v>1781</v>
      </c>
      <c r="K51" s="51"/>
    </row>
    <row r="52" spans="1:11" ht="28.5" customHeight="1" x14ac:dyDescent="0.4">
      <c r="B52" s="42" t="s">
        <v>95</v>
      </c>
      <c r="C52" s="43">
        <v>10</v>
      </c>
      <c r="D52" s="43">
        <v>10</v>
      </c>
      <c r="E52" s="43">
        <v>0</v>
      </c>
      <c r="F52" s="43">
        <v>0</v>
      </c>
      <c r="G52" s="43">
        <v>10</v>
      </c>
      <c r="K52" s="52"/>
    </row>
    <row r="53" spans="1:11" ht="28.5" customHeight="1" x14ac:dyDescent="0.4">
      <c r="B53" s="42" t="s">
        <v>96</v>
      </c>
      <c r="C53" s="43">
        <v>9</v>
      </c>
      <c r="D53" s="43">
        <v>9</v>
      </c>
      <c r="E53" s="43">
        <v>0</v>
      </c>
      <c r="F53" s="43">
        <v>0</v>
      </c>
      <c r="G53" s="43">
        <v>9</v>
      </c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55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76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66</v>
      </c>
      <c r="E58" s="20" t="s">
        <v>8</v>
      </c>
      <c r="F58" s="19" t="s">
        <v>15</v>
      </c>
      <c r="G58" s="19" t="s">
        <v>20</v>
      </c>
      <c r="H58" s="30"/>
      <c r="I58" s="12"/>
      <c r="K58" s="19" t="s">
        <v>11</v>
      </c>
    </row>
    <row r="59" spans="1:11" ht="28.5" customHeight="1" x14ac:dyDescent="0.4">
      <c r="B59" s="42" t="s">
        <v>94</v>
      </c>
      <c r="C59" s="43">
        <v>1781</v>
      </c>
      <c r="D59" s="43">
        <v>1000</v>
      </c>
      <c r="E59" s="43">
        <v>75</v>
      </c>
      <c r="F59" s="43">
        <v>706</v>
      </c>
      <c r="G59" s="43"/>
      <c r="K59" s="51"/>
    </row>
    <row r="60" spans="1:11" ht="28.5" customHeight="1" x14ac:dyDescent="0.4">
      <c r="B60" s="42" t="s">
        <v>95</v>
      </c>
      <c r="C60" s="43">
        <v>10</v>
      </c>
      <c r="D60" s="43">
        <v>10</v>
      </c>
      <c r="E60" s="43">
        <v>0</v>
      </c>
      <c r="F60" s="43">
        <v>0</v>
      </c>
      <c r="G60" s="43"/>
      <c r="K60" s="52"/>
    </row>
    <row r="61" spans="1:11" ht="28.5" customHeight="1" x14ac:dyDescent="0.4">
      <c r="B61" s="42" t="s">
        <v>96</v>
      </c>
      <c r="C61" s="43">
        <v>9</v>
      </c>
      <c r="D61" s="43">
        <v>5</v>
      </c>
      <c r="E61" s="43">
        <v>0</v>
      </c>
      <c r="F61" s="43">
        <v>4</v>
      </c>
      <c r="G61" s="43"/>
    </row>
    <row r="62" spans="1:11" ht="28.5" customHeight="1" thickBot="1" x14ac:dyDescent="0.45">
      <c r="B62" s="35"/>
    </row>
    <row r="63" spans="1:11" ht="28.5" customHeight="1" x14ac:dyDescent="0.4">
      <c r="B63" s="4" t="s">
        <v>20</v>
      </c>
      <c r="C63" s="5"/>
      <c r="D63" s="5"/>
      <c r="E63" s="5"/>
      <c r="F63" s="5"/>
      <c r="G63" s="5"/>
      <c r="H63" s="6"/>
    </row>
    <row r="64" spans="1:11" ht="28.5" customHeight="1" x14ac:dyDescent="0.4">
      <c r="B64" s="7"/>
      <c r="C64" t="s">
        <v>98</v>
      </c>
      <c r="D64" s="1"/>
      <c r="E64" s="1"/>
      <c r="F64" s="1"/>
      <c r="G64" s="1"/>
      <c r="H64" s="8"/>
    </row>
    <row r="65" spans="2:8" ht="28.5" customHeight="1" x14ac:dyDescent="0.4">
      <c r="B65" s="7"/>
      <c r="C65" t="s">
        <v>21</v>
      </c>
      <c r="D65" s="1"/>
      <c r="E65" s="1"/>
      <c r="F65" s="1"/>
      <c r="G65" s="1"/>
      <c r="H65" s="8"/>
    </row>
    <row r="66" spans="2:8" ht="28.5" customHeight="1" x14ac:dyDescent="0.4">
      <c r="B66" s="7"/>
      <c r="C66" s="1"/>
      <c r="D66" s="1"/>
      <c r="E66" s="1"/>
      <c r="F66" s="1"/>
      <c r="G66" s="1"/>
      <c r="H66" s="8"/>
    </row>
    <row r="67" spans="2:8" ht="28.5" customHeight="1" x14ac:dyDescent="0.4">
      <c r="B67" s="7"/>
      <c r="C67" s="1"/>
      <c r="D67" s="1"/>
      <c r="E67" s="1"/>
      <c r="F67" s="1"/>
      <c r="G67" s="1"/>
      <c r="H67" s="8"/>
    </row>
    <row r="68" spans="2:8" ht="28.5" customHeight="1" thickBot="1" x14ac:dyDescent="0.45">
      <c r="B68" s="9"/>
      <c r="C68" s="10"/>
      <c r="D68" s="10"/>
      <c r="E68" s="10"/>
      <c r="F68" s="10"/>
      <c r="G68" s="10"/>
      <c r="H68" s="11"/>
    </row>
    <row r="69" spans="2:8" ht="28.5" customHeight="1" x14ac:dyDescent="0.4"/>
    <row r="70" spans="2:8" ht="28.5" customHeight="1" x14ac:dyDescent="0.4"/>
    <row r="71" spans="2:8" ht="28.5" customHeight="1" x14ac:dyDescent="0.4"/>
    <row r="72" spans="2:8" ht="28.5" customHeight="1" x14ac:dyDescent="0.4"/>
    <row r="73" spans="2:8" ht="28.5" customHeight="1" x14ac:dyDescent="0.4"/>
    <row r="74" spans="2:8" ht="28.5" customHeight="1" x14ac:dyDescent="0.4"/>
    <row r="75" spans="2:8" ht="28.5" customHeight="1" x14ac:dyDescent="0.4"/>
    <row r="76" spans="2:8" ht="28.5" customHeight="1" x14ac:dyDescent="0.4"/>
    <row r="77" spans="2:8" ht="28.5" customHeight="1" x14ac:dyDescent="0.4"/>
    <row r="78" spans="2:8" ht="28.5" customHeight="1" x14ac:dyDescent="0.4"/>
    <row r="79" spans="2:8" ht="28.5" customHeight="1" x14ac:dyDescent="0.4"/>
    <row r="80" spans="2:8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7">
    <mergeCell ref="K59:K60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2C266-8C3B-4CF0-A7F6-117A184569AE}">
  <sheetPr codeName="Sheet9">
    <pageSetUpPr fitToPage="1"/>
  </sheetPr>
  <dimension ref="A1:P135"/>
  <sheetViews>
    <sheetView topLeftCell="A27" zoomScaleNormal="100" workbookViewId="0">
      <selection activeCell="E10" sqref="E10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45041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1" customHeight="1" thickBot="1" x14ac:dyDescent="0.45">
      <c r="B4" s="44" t="s">
        <v>39</v>
      </c>
      <c r="C4" s="44">
        <v>2002125</v>
      </c>
      <c r="D4" s="3"/>
      <c r="E4" s="1"/>
      <c r="G4" s="26"/>
      <c r="J4" s="36" t="s">
        <v>57</v>
      </c>
      <c r="K4" s="38" t="s">
        <v>58</v>
      </c>
      <c r="P4" s="37"/>
    </row>
    <row r="5" spans="1:16" ht="55.5" customHeight="1" thickTop="1" thickBot="1" x14ac:dyDescent="0.45">
      <c r="A5" s="1"/>
      <c r="B5" s="45" t="s">
        <v>40</v>
      </c>
      <c r="C5" s="44" t="s">
        <v>100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102</v>
      </c>
      <c r="C11" s="42">
        <v>46</v>
      </c>
      <c r="D11" s="43">
        <v>1831</v>
      </c>
      <c r="E11" s="42" t="s">
        <v>105</v>
      </c>
      <c r="F11" s="43">
        <v>0</v>
      </c>
      <c r="G11" s="43">
        <v>1831</v>
      </c>
      <c r="H11" s="43">
        <v>7324</v>
      </c>
      <c r="K11" s="51"/>
    </row>
    <row r="12" spans="1:16" ht="28.5" customHeight="1" x14ac:dyDescent="0.4">
      <c r="B12" s="42" t="s">
        <v>103</v>
      </c>
      <c r="C12" s="42">
        <v>46</v>
      </c>
      <c r="D12" s="43">
        <v>175</v>
      </c>
      <c r="E12" s="42" t="s">
        <v>105</v>
      </c>
      <c r="F12" s="43">
        <v>0</v>
      </c>
      <c r="G12" s="43">
        <v>175</v>
      </c>
      <c r="H12" s="43">
        <v>700</v>
      </c>
      <c r="K12" s="52"/>
    </row>
    <row r="13" spans="1:16" ht="28.5" customHeight="1" x14ac:dyDescent="0.4">
      <c r="B13" s="42" t="s">
        <v>115</v>
      </c>
      <c r="C13" s="42">
        <v>46</v>
      </c>
      <c r="D13" s="43">
        <v>500</v>
      </c>
      <c r="E13" s="42" t="s">
        <v>105</v>
      </c>
      <c r="F13" s="43">
        <v>0</v>
      </c>
      <c r="G13" s="43">
        <v>500</v>
      </c>
      <c r="H13" s="43">
        <v>2000</v>
      </c>
    </row>
    <row r="14" spans="1:16" ht="28.5" customHeight="1" x14ac:dyDescent="0.4">
      <c r="B14" s="42" t="s">
        <v>104</v>
      </c>
      <c r="C14" s="42">
        <v>46</v>
      </c>
      <c r="D14" s="43">
        <v>568</v>
      </c>
      <c r="E14" s="42" t="s">
        <v>105</v>
      </c>
      <c r="F14" s="43">
        <v>0</v>
      </c>
      <c r="G14" s="43">
        <v>568</v>
      </c>
      <c r="H14" s="43">
        <v>2272</v>
      </c>
    </row>
    <row r="15" spans="1:16" ht="28.5" customHeight="1" x14ac:dyDescent="0.4">
      <c r="B15" s="35"/>
    </row>
    <row r="16" spans="1:16" ht="28.5" customHeight="1" x14ac:dyDescent="0.4">
      <c r="A16" s="12"/>
      <c r="B16" s="17" t="s">
        <v>79</v>
      </c>
      <c r="C16" s="12" t="s">
        <v>12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8" t="s">
        <v>2</v>
      </c>
      <c r="C17" s="18" t="s">
        <v>0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7" t="s">
        <v>4</v>
      </c>
      <c r="C18" s="17" t="s">
        <v>72</v>
      </c>
      <c r="D18" s="12"/>
      <c r="E18" s="12"/>
      <c r="F18" s="12"/>
      <c r="G18" s="12"/>
      <c r="H18" s="12"/>
      <c r="I18" s="12"/>
    </row>
    <row r="19" spans="1:11" ht="28.5" customHeight="1" x14ac:dyDescent="0.4">
      <c r="A19" s="12"/>
      <c r="B19" s="19" t="s">
        <v>5</v>
      </c>
      <c r="C19" s="20" t="s">
        <v>22</v>
      </c>
      <c r="D19" s="19" t="s">
        <v>13</v>
      </c>
      <c r="E19" s="19" t="s">
        <v>14</v>
      </c>
      <c r="F19" s="20" t="s">
        <v>8</v>
      </c>
      <c r="G19" s="20" t="s">
        <v>15</v>
      </c>
      <c r="H19" s="19" t="s">
        <v>10</v>
      </c>
      <c r="I19" s="12"/>
      <c r="K19" s="19" t="s">
        <v>11</v>
      </c>
    </row>
    <row r="20" spans="1:11" ht="28.5" customHeight="1" x14ac:dyDescent="0.4">
      <c r="B20" s="42" t="s">
        <v>102</v>
      </c>
      <c r="C20" s="42" t="s">
        <v>107</v>
      </c>
      <c r="D20" s="43">
        <v>7321</v>
      </c>
      <c r="E20" s="43">
        <v>7321</v>
      </c>
      <c r="F20" s="43">
        <v>47</v>
      </c>
      <c r="G20" s="43">
        <v>0</v>
      </c>
      <c r="H20" s="43">
        <v>7274</v>
      </c>
      <c r="K20" s="51"/>
    </row>
    <row r="21" spans="1:11" ht="28.5" customHeight="1" x14ac:dyDescent="0.4">
      <c r="B21" s="42" t="s">
        <v>103</v>
      </c>
      <c r="C21" s="42" t="s">
        <v>107</v>
      </c>
      <c r="D21" s="43">
        <v>598</v>
      </c>
      <c r="E21" s="43">
        <v>598</v>
      </c>
      <c r="F21" s="43">
        <v>12</v>
      </c>
      <c r="G21" s="43">
        <v>0</v>
      </c>
      <c r="H21" s="43">
        <v>586</v>
      </c>
      <c r="K21" s="52"/>
    </row>
    <row r="22" spans="1:11" ht="28.5" customHeight="1" x14ac:dyDescent="0.4">
      <c r="B22" s="42" t="s">
        <v>115</v>
      </c>
      <c r="C22" s="42" t="s">
        <v>107</v>
      </c>
      <c r="D22" s="43">
        <v>1975</v>
      </c>
      <c r="E22" s="43">
        <v>1975</v>
      </c>
      <c r="F22" s="43">
        <v>12</v>
      </c>
      <c r="G22" s="43">
        <v>0</v>
      </c>
      <c r="H22" s="43">
        <v>1963</v>
      </c>
    </row>
    <row r="23" spans="1:11" ht="28.5" customHeight="1" x14ac:dyDescent="0.4">
      <c r="B23" s="42" t="s">
        <v>104</v>
      </c>
      <c r="C23" s="42" t="s">
        <v>107</v>
      </c>
      <c r="D23" s="43">
        <v>2272</v>
      </c>
      <c r="E23" s="43">
        <v>2272</v>
      </c>
      <c r="F23" s="43">
        <v>12</v>
      </c>
      <c r="G23" s="43">
        <v>0</v>
      </c>
      <c r="H23" s="43">
        <v>2260</v>
      </c>
    </row>
    <row r="24" spans="1:11" ht="28.5" customHeight="1" x14ac:dyDescent="0.4">
      <c r="B24" s="42" t="s">
        <v>106</v>
      </c>
      <c r="C24" s="42" t="s">
        <v>107</v>
      </c>
      <c r="D24" s="43">
        <v>9832</v>
      </c>
      <c r="E24" s="43">
        <v>9832</v>
      </c>
      <c r="F24" s="43">
        <v>9</v>
      </c>
      <c r="G24" s="43">
        <v>0</v>
      </c>
      <c r="H24" s="43">
        <v>9823</v>
      </c>
    </row>
    <row r="25" spans="1:11" ht="28.5" customHeight="1" x14ac:dyDescent="0.4">
      <c r="B25" s="35"/>
    </row>
    <row r="26" spans="1:11" ht="28.5" customHeight="1" x14ac:dyDescent="0.4">
      <c r="A26" s="12"/>
      <c r="B26" s="17" t="s">
        <v>80</v>
      </c>
      <c r="C26" s="23" t="s">
        <v>23</v>
      </c>
      <c r="D26" s="12"/>
      <c r="E26" s="12"/>
      <c r="F26" s="12"/>
      <c r="G26" s="12"/>
      <c r="H26" s="12"/>
      <c r="I26" s="12"/>
    </row>
    <row r="27" spans="1:11" ht="28.5" customHeight="1" x14ac:dyDescent="0.4">
      <c r="A27" s="12"/>
      <c r="B27" s="18" t="s">
        <v>2</v>
      </c>
      <c r="C27" s="18" t="s">
        <v>16</v>
      </c>
      <c r="D27" s="12"/>
      <c r="E27" s="12"/>
      <c r="F27" s="12"/>
      <c r="G27" s="12"/>
      <c r="H27" s="12"/>
      <c r="I27" s="12"/>
    </row>
    <row r="28" spans="1:11" ht="28.5" customHeight="1" x14ac:dyDescent="0.4">
      <c r="A28" s="12"/>
      <c r="B28" s="17" t="s">
        <v>4</v>
      </c>
      <c r="C28" s="17" t="s">
        <v>75</v>
      </c>
      <c r="D28" s="12"/>
      <c r="E28" s="12"/>
      <c r="F28" s="12"/>
      <c r="G28" s="12"/>
      <c r="H28" s="12"/>
      <c r="I28" s="12"/>
    </row>
    <row r="29" spans="1:11" ht="28.5" customHeight="1" x14ac:dyDescent="0.4">
      <c r="A29" s="12"/>
      <c r="B29" s="19" t="s">
        <v>5</v>
      </c>
      <c r="C29" s="19" t="s">
        <v>13</v>
      </c>
      <c r="D29" s="19" t="s">
        <v>17</v>
      </c>
      <c r="E29" s="20" t="s">
        <v>19</v>
      </c>
      <c r="F29" s="19" t="s">
        <v>14</v>
      </c>
      <c r="G29" s="19" t="s">
        <v>8</v>
      </c>
      <c r="H29" s="19" t="s">
        <v>18</v>
      </c>
      <c r="I29" s="12"/>
      <c r="K29" s="19" t="s">
        <v>11</v>
      </c>
    </row>
    <row r="30" spans="1:11" ht="28.5" customHeight="1" x14ac:dyDescent="0.4">
      <c r="B30" s="42" t="s">
        <v>108</v>
      </c>
      <c r="C30" s="43">
        <v>7274</v>
      </c>
      <c r="D30" s="42" t="s">
        <v>107</v>
      </c>
      <c r="E30" s="43">
        <v>4</v>
      </c>
      <c r="F30" s="43">
        <v>29096</v>
      </c>
      <c r="G30" s="43">
        <v>0</v>
      </c>
      <c r="H30" s="43">
        <v>29096</v>
      </c>
      <c r="K30" s="51"/>
    </row>
    <row r="31" spans="1:11" ht="28.5" customHeight="1" x14ac:dyDescent="0.4">
      <c r="B31" s="42" t="s">
        <v>116</v>
      </c>
      <c r="C31" s="43">
        <v>586</v>
      </c>
      <c r="D31" s="42" t="s">
        <v>107</v>
      </c>
      <c r="E31" s="43">
        <v>4</v>
      </c>
      <c r="F31" s="43">
        <v>2344</v>
      </c>
      <c r="G31" s="43">
        <v>0</v>
      </c>
      <c r="H31" s="43">
        <v>2344</v>
      </c>
      <c r="K31" s="52"/>
    </row>
    <row r="32" spans="1:11" ht="28.5" customHeight="1" x14ac:dyDescent="0.4">
      <c r="B32" s="42" t="s">
        <v>117</v>
      </c>
      <c r="C32" s="43">
        <v>1963</v>
      </c>
      <c r="D32" s="42" t="s">
        <v>107</v>
      </c>
      <c r="E32" s="43">
        <v>4</v>
      </c>
      <c r="F32" s="43">
        <v>7852</v>
      </c>
      <c r="G32" s="43">
        <v>0</v>
      </c>
      <c r="H32" s="43">
        <v>7852</v>
      </c>
    </row>
    <row r="33" spans="1:11" ht="28.5" customHeight="1" x14ac:dyDescent="0.4">
      <c r="B33" s="42" t="s">
        <v>104</v>
      </c>
      <c r="C33" s="43">
        <v>2260</v>
      </c>
      <c r="D33" s="42" t="s">
        <v>107</v>
      </c>
      <c r="E33" s="43">
        <v>4</v>
      </c>
      <c r="F33" s="43">
        <v>9040</v>
      </c>
      <c r="G33" s="43">
        <v>0</v>
      </c>
      <c r="H33" s="43">
        <v>9040</v>
      </c>
    </row>
    <row r="34" spans="1:11" ht="28.5" customHeight="1" x14ac:dyDescent="0.4">
      <c r="B34" s="35"/>
    </row>
    <row r="35" spans="1:11" ht="28.5" customHeight="1" x14ac:dyDescent="0.4">
      <c r="A35" s="12"/>
      <c r="B35" s="17" t="s">
        <v>81</v>
      </c>
      <c r="C35" s="23" t="s">
        <v>121</v>
      </c>
      <c r="D35" s="12"/>
      <c r="E35" s="12"/>
      <c r="F35" s="12"/>
      <c r="G35" s="12"/>
      <c r="H35" s="12"/>
      <c r="I35" s="12"/>
    </row>
    <row r="36" spans="1:11" ht="28.5" customHeight="1" x14ac:dyDescent="0.4">
      <c r="A36" s="12"/>
      <c r="B36" s="18" t="s">
        <v>2</v>
      </c>
      <c r="C36" s="18" t="s">
        <v>16</v>
      </c>
      <c r="D36" s="12"/>
      <c r="E36" s="12"/>
      <c r="F36" s="12"/>
      <c r="G36" s="12"/>
      <c r="H36" s="12"/>
      <c r="I36" s="12"/>
    </row>
    <row r="37" spans="1:11" ht="28.5" customHeight="1" x14ac:dyDescent="0.4">
      <c r="A37" s="12"/>
      <c r="B37" s="17" t="s">
        <v>4</v>
      </c>
      <c r="C37" s="17" t="s">
        <v>73</v>
      </c>
      <c r="D37" s="12"/>
      <c r="E37" s="12"/>
      <c r="F37" s="12"/>
      <c r="G37" s="12"/>
      <c r="H37" s="12"/>
      <c r="I37" s="12"/>
    </row>
    <row r="38" spans="1:11" ht="28.5" customHeight="1" x14ac:dyDescent="0.4">
      <c r="A38" s="12"/>
      <c r="B38" s="19" t="s">
        <v>5</v>
      </c>
      <c r="C38" s="19" t="s">
        <v>13</v>
      </c>
      <c r="D38" s="19" t="s">
        <v>17</v>
      </c>
      <c r="E38" s="20" t="s">
        <v>14</v>
      </c>
      <c r="F38" s="19" t="s">
        <v>8</v>
      </c>
      <c r="G38" s="19" t="s">
        <v>15</v>
      </c>
      <c r="H38" s="19" t="s">
        <v>18</v>
      </c>
      <c r="I38" s="12"/>
      <c r="K38" s="19" t="s">
        <v>11</v>
      </c>
    </row>
    <row r="39" spans="1:11" ht="28.5" customHeight="1" x14ac:dyDescent="0.4">
      <c r="B39" s="42" t="s">
        <v>108</v>
      </c>
      <c r="C39" s="43">
        <v>29096</v>
      </c>
      <c r="D39" s="42" t="s">
        <v>109</v>
      </c>
      <c r="E39" s="43">
        <v>29096</v>
      </c>
      <c r="F39" s="43">
        <v>239</v>
      </c>
      <c r="G39" s="43">
        <v>100</v>
      </c>
      <c r="H39" s="43">
        <v>28757</v>
      </c>
      <c r="K39" s="51"/>
    </row>
    <row r="40" spans="1:11" ht="28.5" customHeight="1" x14ac:dyDescent="0.4">
      <c r="B40" s="42" t="s">
        <v>116</v>
      </c>
      <c r="C40" s="43">
        <v>2344</v>
      </c>
      <c r="D40" s="42" t="s">
        <v>109</v>
      </c>
      <c r="E40" s="43">
        <v>234</v>
      </c>
      <c r="F40" s="43">
        <v>27</v>
      </c>
      <c r="G40" s="43">
        <v>66</v>
      </c>
      <c r="H40" s="43">
        <v>2251</v>
      </c>
      <c r="K40" s="52"/>
    </row>
    <row r="41" spans="1:11" ht="28.5" customHeight="1" x14ac:dyDescent="0.4">
      <c r="B41" s="42" t="s">
        <v>117</v>
      </c>
      <c r="C41" s="43">
        <v>7852</v>
      </c>
      <c r="D41" s="42" t="s">
        <v>109</v>
      </c>
      <c r="E41" s="43">
        <v>7852</v>
      </c>
      <c r="F41" s="43">
        <v>85</v>
      </c>
      <c r="G41" s="43">
        <v>17</v>
      </c>
      <c r="H41" s="43">
        <v>7750</v>
      </c>
    </row>
    <row r="42" spans="1:11" ht="28.5" customHeight="1" x14ac:dyDescent="0.4">
      <c r="B42" s="35"/>
    </row>
    <row r="43" spans="1:11" ht="28.5" customHeight="1" x14ac:dyDescent="0.4">
      <c r="A43" s="12"/>
      <c r="B43" s="17" t="s">
        <v>82</v>
      </c>
      <c r="C43" s="23" t="s">
        <v>62</v>
      </c>
      <c r="D43" s="12"/>
      <c r="E43" s="12"/>
      <c r="F43" s="12"/>
      <c r="G43" s="12"/>
      <c r="H43" s="12"/>
      <c r="I43" s="12"/>
    </row>
    <row r="44" spans="1:11" ht="28.5" customHeight="1" x14ac:dyDescent="0.4">
      <c r="A44" s="12"/>
      <c r="B44" s="18" t="s">
        <v>2</v>
      </c>
      <c r="C44" s="18" t="s">
        <v>16</v>
      </c>
      <c r="D44" s="12"/>
      <c r="E44" s="12"/>
      <c r="F44" s="12"/>
      <c r="G44" s="12"/>
      <c r="H44" s="12"/>
      <c r="I44" s="12"/>
    </row>
    <row r="45" spans="1:11" ht="28.5" customHeight="1" x14ac:dyDescent="0.4">
      <c r="A45" s="12"/>
      <c r="B45" s="17" t="s">
        <v>4</v>
      </c>
      <c r="C45" s="17" t="s">
        <v>101</v>
      </c>
      <c r="D45" s="12"/>
      <c r="E45" s="12"/>
      <c r="F45" s="12"/>
      <c r="G45" s="12"/>
      <c r="H45" s="12"/>
      <c r="I45" s="12"/>
    </row>
    <row r="46" spans="1:11" ht="28.5" customHeight="1" x14ac:dyDescent="0.4">
      <c r="A46" s="12"/>
      <c r="B46" s="19" t="s">
        <v>5</v>
      </c>
      <c r="C46" s="19" t="s">
        <v>13</v>
      </c>
      <c r="D46" s="19" t="s">
        <v>17</v>
      </c>
      <c r="E46" s="20" t="s">
        <v>14</v>
      </c>
      <c r="F46" s="19" t="s">
        <v>15</v>
      </c>
      <c r="G46" s="19" t="s">
        <v>18</v>
      </c>
      <c r="H46" s="12"/>
      <c r="I46" s="12"/>
      <c r="K46" s="19" t="s">
        <v>11</v>
      </c>
    </row>
    <row r="47" spans="1:11" ht="28.5" customHeight="1" x14ac:dyDescent="0.4">
      <c r="B47" s="42" t="s">
        <v>108</v>
      </c>
      <c r="C47" s="43">
        <v>28757</v>
      </c>
      <c r="D47" s="42" t="s">
        <v>109</v>
      </c>
      <c r="E47" s="43">
        <v>28757</v>
      </c>
      <c r="F47" s="43">
        <v>107</v>
      </c>
      <c r="G47" s="43">
        <v>28650</v>
      </c>
      <c r="K47" s="51"/>
    </row>
    <row r="48" spans="1:11" ht="28.5" customHeight="1" x14ac:dyDescent="0.4">
      <c r="B48" s="42" t="s">
        <v>116</v>
      </c>
      <c r="C48" s="43">
        <v>2251</v>
      </c>
      <c r="D48" s="42" t="s">
        <v>109</v>
      </c>
      <c r="E48" s="43">
        <v>2251</v>
      </c>
      <c r="F48" s="43">
        <v>1</v>
      </c>
      <c r="G48" s="43">
        <v>2250</v>
      </c>
      <c r="K48" s="52"/>
    </row>
    <row r="49" spans="1:11" ht="28.5" customHeight="1" x14ac:dyDescent="0.4">
      <c r="B49" s="42" t="s">
        <v>117</v>
      </c>
      <c r="C49" s="43">
        <v>7750</v>
      </c>
      <c r="D49" s="42" t="s">
        <v>109</v>
      </c>
      <c r="E49" s="43">
        <v>7750</v>
      </c>
      <c r="F49" s="43">
        <v>0</v>
      </c>
      <c r="G49" s="43">
        <v>7750</v>
      </c>
    </row>
    <row r="50" spans="1:11" ht="28.5" customHeight="1" x14ac:dyDescent="0.4">
      <c r="B50" s="35"/>
    </row>
    <row r="51" spans="1:11" ht="28.5" customHeight="1" x14ac:dyDescent="0.4">
      <c r="A51" s="12"/>
      <c r="B51" s="17" t="s">
        <v>83</v>
      </c>
      <c r="C51" s="23" t="s">
        <v>114</v>
      </c>
      <c r="D51" s="12"/>
      <c r="E51" s="12"/>
      <c r="F51" s="12"/>
      <c r="G51" s="12"/>
      <c r="H51" s="12"/>
      <c r="I51" s="12"/>
    </row>
    <row r="52" spans="1:11" ht="28.5" customHeight="1" x14ac:dyDescent="0.4">
      <c r="A52" s="12"/>
      <c r="B52" s="18" t="s">
        <v>2</v>
      </c>
      <c r="C52" s="18" t="s">
        <v>16</v>
      </c>
      <c r="D52" s="12"/>
      <c r="E52" s="12"/>
      <c r="F52" s="12"/>
      <c r="G52" s="12"/>
      <c r="H52" s="12"/>
      <c r="I52" s="12"/>
    </row>
    <row r="53" spans="1:11" ht="28.5" customHeight="1" x14ac:dyDescent="0.4">
      <c r="A53" s="12"/>
      <c r="B53" s="17" t="s">
        <v>4</v>
      </c>
      <c r="C53" s="17" t="s">
        <v>110</v>
      </c>
      <c r="D53" s="12"/>
      <c r="E53" s="12"/>
      <c r="F53" s="12"/>
      <c r="G53" s="12"/>
      <c r="H53" s="12"/>
      <c r="I53" s="12"/>
    </row>
    <row r="54" spans="1:11" ht="28.5" customHeight="1" x14ac:dyDescent="0.4">
      <c r="A54" s="12"/>
      <c r="B54" s="19" t="s">
        <v>5</v>
      </c>
      <c r="C54" s="19" t="s">
        <v>13</v>
      </c>
      <c r="D54" s="19" t="s">
        <v>64</v>
      </c>
      <c r="E54" s="20" t="s">
        <v>8</v>
      </c>
      <c r="F54" s="19" t="s">
        <v>15</v>
      </c>
      <c r="G54" s="19" t="s">
        <v>18</v>
      </c>
      <c r="H54" s="12"/>
      <c r="I54" s="12"/>
      <c r="K54" s="19" t="s">
        <v>11</v>
      </c>
    </row>
    <row r="55" spans="1:11" ht="28.5" customHeight="1" x14ac:dyDescent="0.4">
      <c r="B55" s="42" t="s">
        <v>108</v>
      </c>
      <c r="C55" s="43">
        <v>2865</v>
      </c>
      <c r="D55" s="42" t="s">
        <v>109</v>
      </c>
      <c r="E55" s="43">
        <v>91</v>
      </c>
      <c r="F55" s="43">
        <v>0</v>
      </c>
      <c r="G55" s="43">
        <v>274</v>
      </c>
      <c r="K55" s="51"/>
    </row>
    <row r="56" spans="1:11" ht="28.5" customHeight="1" x14ac:dyDescent="0.4">
      <c r="B56" s="42" t="s">
        <v>116</v>
      </c>
      <c r="C56" s="43">
        <v>2250</v>
      </c>
      <c r="D56" s="42" t="s">
        <v>109</v>
      </c>
      <c r="E56" s="43">
        <v>0</v>
      </c>
      <c r="F56" s="43">
        <v>0</v>
      </c>
      <c r="G56" s="43">
        <v>225</v>
      </c>
      <c r="K56" s="52"/>
    </row>
    <row r="57" spans="1:11" ht="28.5" customHeight="1" x14ac:dyDescent="0.4">
      <c r="B57" s="42" t="s">
        <v>117</v>
      </c>
      <c r="C57" s="43">
        <v>7750</v>
      </c>
      <c r="D57" s="42" t="s">
        <v>109</v>
      </c>
      <c r="E57" s="43">
        <v>2</v>
      </c>
      <c r="F57" s="43">
        <v>0</v>
      </c>
      <c r="G57" s="43">
        <v>773</v>
      </c>
    </row>
    <row r="58" spans="1:11" ht="28.5" customHeight="1" x14ac:dyDescent="0.4">
      <c r="B58" s="35"/>
    </row>
    <row r="59" spans="1:11" ht="28.5" customHeight="1" x14ac:dyDescent="0.4">
      <c r="A59" s="12"/>
      <c r="B59" s="17" t="s">
        <v>84</v>
      </c>
      <c r="C59" s="23" t="s">
        <v>53</v>
      </c>
      <c r="D59" s="12"/>
      <c r="E59" s="12"/>
      <c r="F59" s="12"/>
      <c r="G59" s="12"/>
      <c r="H59" s="12"/>
      <c r="I59" s="12"/>
    </row>
    <row r="60" spans="1:11" ht="28.5" customHeight="1" x14ac:dyDescent="0.4">
      <c r="A60" s="12"/>
      <c r="B60" s="18" t="s">
        <v>2</v>
      </c>
      <c r="C60" s="18" t="s">
        <v>16</v>
      </c>
      <c r="D60" s="12"/>
      <c r="E60" s="12"/>
      <c r="F60" s="12"/>
      <c r="G60" s="12"/>
      <c r="H60" s="12"/>
      <c r="I60" s="12"/>
    </row>
    <row r="61" spans="1:11" ht="28.5" customHeight="1" x14ac:dyDescent="0.4">
      <c r="A61" s="12"/>
      <c r="B61" s="17" t="s">
        <v>4</v>
      </c>
      <c r="C61" s="17" t="s">
        <v>75</v>
      </c>
      <c r="D61" s="12"/>
      <c r="E61" s="12"/>
      <c r="F61" s="12"/>
      <c r="G61" s="12"/>
      <c r="H61" s="12"/>
      <c r="I61" s="12"/>
    </row>
    <row r="62" spans="1:11" ht="28.5" customHeight="1" x14ac:dyDescent="0.4">
      <c r="A62" s="12"/>
      <c r="B62" s="19" t="s">
        <v>5</v>
      </c>
      <c r="C62" s="19" t="s">
        <v>13</v>
      </c>
      <c r="D62" s="19" t="s">
        <v>17</v>
      </c>
      <c r="E62" s="20" t="s">
        <v>19</v>
      </c>
      <c r="F62" s="19" t="s">
        <v>8</v>
      </c>
      <c r="G62" s="19" t="s">
        <v>18</v>
      </c>
      <c r="H62" s="12"/>
      <c r="I62" s="12"/>
      <c r="K62" s="19" t="s">
        <v>11</v>
      </c>
    </row>
    <row r="63" spans="1:11" ht="28.5" customHeight="1" x14ac:dyDescent="0.4">
      <c r="B63" s="42" t="s">
        <v>108</v>
      </c>
      <c r="C63" s="43">
        <v>2774</v>
      </c>
      <c r="D63" s="42" t="s">
        <v>109</v>
      </c>
      <c r="E63" s="43">
        <v>2</v>
      </c>
      <c r="F63" s="43">
        <v>0</v>
      </c>
      <c r="G63" s="43">
        <v>5548</v>
      </c>
      <c r="K63" s="51"/>
    </row>
    <row r="64" spans="1:11" ht="28.5" customHeight="1" x14ac:dyDescent="0.4">
      <c r="B64" s="42" t="s">
        <v>116</v>
      </c>
      <c r="C64" s="43">
        <v>225</v>
      </c>
      <c r="D64" s="42" t="s">
        <v>109</v>
      </c>
      <c r="E64" s="43">
        <v>2</v>
      </c>
      <c r="F64" s="43">
        <v>0</v>
      </c>
      <c r="G64" s="43">
        <v>450</v>
      </c>
      <c r="K64" s="52"/>
    </row>
    <row r="65" spans="1:11" ht="28.5" customHeight="1" x14ac:dyDescent="0.4">
      <c r="B65" s="42" t="s">
        <v>117</v>
      </c>
      <c r="C65" s="43">
        <v>773</v>
      </c>
      <c r="D65" s="42" t="s">
        <v>109</v>
      </c>
      <c r="E65" s="43">
        <v>2</v>
      </c>
      <c r="F65" s="43">
        <v>0</v>
      </c>
      <c r="G65" s="43">
        <v>1546</v>
      </c>
    </row>
    <row r="66" spans="1:11" ht="28.5" customHeight="1" x14ac:dyDescent="0.4">
      <c r="B66" s="35"/>
    </row>
    <row r="67" spans="1:11" ht="28.5" customHeight="1" x14ac:dyDescent="0.4">
      <c r="A67" s="12"/>
      <c r="B67" s="17" t="s">
        <v>112</v>
      </c>
      <c r="C67" s="23" t="s">
        <v>54</v>
      </c>
      <c r="D67" s="12"/>
      <c r="E67" s="12"/>
      <c r="F67" s="12"/>
      <c r="G67" s="12"/>
      <c r="H67" s="12"/>
      <c r="I67" s="12"/>
    </row>
    <row r="68" spans="1:11" ht="28.5" customHeight="1" x14ac:dyDescent="0.4">
      <c r="A68" s="12"/>
      <c r="B68" s="18" t="s">
        <v>2</v>
      </c>
      <c r="C68" s="18" t="s">
        <v>16</v>
      </c>
      <c r="D68" s="12"/>
      <c r="E68" s="12"/>
      <c r="F68" s="12"/>
      <c r="G68" s="12"/>
      <c r="H68" s="12"/>
      <c r="I68" s="12"/>
    </row>
    <row r="69" spans="1:11" ht="28.5" customHeight="1" x14ac:dyDescent="0.4">
      <c r="A69" s="12"/>
      <c r="B69" s="17" t="s">
        <v>4</v>
      </c>
      <c r="C69" s="17" t="s">
        <v>76</v>
      </c>
      <c r="D69" s="12"/>
      <c r="E69" s="12"/>
      <c r="F69" s="12"/>
      <c r="G69" s="12"/>
      <c r="H69" s="12"/>
      <c r="I69" s="12"/>
    </row>
    <row r="70" spans="1:11" ht="28.5" customHeight="1" x14ac:dyDescent="0.4">
      <c r="A70" s="12"/>
      <c r="B70" s="19" t="s">
        <v>5</v>
      </c>
      <c r="C70" s="19" t="s">
        <v>13</v>
      </c>
      <c r="D70" s="19" t="s">
        <v>97</v>
      </c>
      <c r="E70" s="20" t="s">
        <v>8</v>
      </c>
      <c r="F70" s="19" t="s">
        <v>15</v>
      </c>
      <c r="G70" s="19" t="s">
        <v>18</v>
      </c>
      <c r="H70" s="12"/>
      <c r="I70" s="12"/>
      <c r="K70" s="19" t="s">
        <v>11</v>
      </c>
    </row>
    <row r="71" spans="1:11" ht="28.5" customHeight="1" x14ac:dyDescent="0.4">
      <c r="B71" s="42" t="s">
        <v>108</v>
      </c>
      <c r="C71" s="43">
        <v>5448</v>
      </c>
      <c r="D71" s="43">
        <v>5448</v>
      </c>
      <c r="E71" s="43">
        <v>1</v>
      </c>
      <c r="F71" s="43">
        <v>0</v>
      </c>
      <c r="G71" s="43">
        <v>5547</v>
      </c>
      <c r="K71" s="51"/>
    </row>
    <row r="72" spans="1:11" ht="28.5" customHeight="1" x14ac:dyDescent="0.4">
      <c r="B72" s="42" t="s">
        <v>116</v>
      </c>
      <c r="C72" s="43">
        <v>450</v>
      </c>
      <c r="D72" s="43">
        <v>450</v>
      </c>
      <c r="E72" s="43">
        <v>0</v>
      </c>
      <c r="F72" s="43">
        <v>0</v>
      </c>
      <c r="G72" s="43">
        <v>450</v>
      </c>
      <c r="K72" s="52"/>
    </row>
    <row r="73" spans="1:11" ht="28.5" customHeight="1" x14ac:dyDescent="0.4">
      <c r="B73" s="42" t="s">
        <v>117</v>
      </c>
      <c r="C73" s="43">
        <v>1546</v>
      </c>
      <c r="D73" s="43">
        <v>1546</v>
      </c>
      <c r="E73" s="43">
        <v>0</v>
      </c>
      <c r="F73" s="43">
        <v>0</v>
      </c>
      <c r="G73" s="43">
        <v>1546</v>
      </c>
    </row>
    <row r="74" spans="1:11" ht="28.5" customHeight="1" x14ac:dyDescent="0.4"/>
    <row r="75" spans="1:11" ht="28.5" customHeight="1" x14ac:dyDescent="0.4">
      <c r="A75" s="12"/>
      <c r="B75" s="17" t="s">
        <v>113</v>
      </c>
      <c r="C75" s="23" t="s">
        <v>55</v>
      </c>
      <c r="D75" s="12"/>
      <c r="E75" s="12"/>
      <c r="F75" s="12"/>
      <c r="G75" s="12"/>
      <c r="H75" s="12"/>
      <c r="I75" s="12"/>
    </row>
    <row r="76" spans="1:11" ht="28.5" customHeight="1" x14ac:dyDescent="0.4">
      <c r="A76" s="12"/>
      <c r="B76" s="18" t="s">
        <v>2</v>
      </c>
      <c r="C76" s="18" t="s">
        <v>16</v>
      </c>
      <c r="D76" s="12"/>
      <c r="E76" s="12"/>
      <c r="F76" s="12"/>
      <c r="G76" s="12"/>
      <c r="H76" s="12"/>
      <c r="I76" s="12"/>
    </row>
    <row r="77" spans="1:11" ht="28.5" customHeight="1" x14ac:dyDescent="0.4">
      <c r="A77" s="12"/>
      <c r="B77" s="17" t="s">
        <v>4</v>
      </c>
      <c r="C77" s="17" t="s">
        <v>76</v>
      </c>
      <c r="D77" s="12"/>
      <c r="E77" s="12"/>
      <c r="F77" s="12"/>
      <c r="G77" s="12"/>
      <c r="H77" s="12"/>
      <c r="I77" s="12"/>
    </row>
    <row r="78" spans="1:11" ht="28.5" customHeight="1" x14ac:dyDescent="0.4">
      <c r="A78" s="12"/>
      <c r="B78" s="19" t="s">
        <v>5</v>
      </c>
      <c r="C78" s="19" t="s">
        <v>13</v>
      </c>
      <c r="D78" s="19" t="s">
        <v>66</v>
      </c>
      <c r="E78" s="20" t="s">
        <v>8</v>
      </c>
      <c r="F78" s="19" t="s">
        <v>15</v>
      </c>
      <c r="G78" s="19" t="s">
        <v>118</v>
      </c>
      <c r="H78" s="19" t="s">
        <v>119</v>
      </c>
      <c r="I78" s="12"/>
      <c r="K78" s="19" t="s">
        <v>11</v>
      </c>
    </row>
    <row r="79" spans="1:11" ht="28.5" customHeight="1" x14ac:dyDescent="0.4">
      <c r="B79" s="42" t="s">
        <v>108</v>
      </c>
      <c r="C79" s="43">
        <v>5547</v>
      </c>
      <c r="D79" s="43">
        <v>5440</v>
      </c>
      <c r="E79" s="43">
        <v>62</v>
      </c>
      <c r="F79" s="43">
        <v>30</v>
      </c>
      <c r="G79" s="43">
        <v>10</v>
      </c>
      <c r="H79" s="43">
        <v>5</v>
      </c>
      <c r="K79" s="51"/>
    </row>
    <row r="80" spans="1:11" ht="28.5" customHeight="1" x14ac:dyDescent="0.4">
      <c r="B80" s="42" t="s">
        <v>116</v>
      </c>
      <c r="C80" s="43">
        <v>450</v>
      </c>
      <c r="D80" s="43">
        <v>320</v>
      </c>
      <c r="E80" s="43">
        <v>21</v>
      </c>
      <c r="F80" s="43">
        <v>94</v>
      </c>
      <c r="G80" s="43">
        <v>10</v>
      </c>
      <c r="H80" s="43">
        <v>5</v>
      </c>
      <c r="K80" s="52"/>
    </row>
    <row r="81" spans="2:8" ht="28.5" customHeight="1" x14ac:dyDescent="0.4">
      <c r="B81" s="42" t="s">
        <v>117</v>
      </c>
      <c r="C81" s="43">
        <v>1546</v>
      </c>
      <c r="D81" s="43">
        <v>1240</v>
      </c>
      <c r="E81" s="43">
        <v>194</v>
      </c>
      <c r="F81" s="43">
        <v>97</v>
      </c>
      <c r="G81" s="43">
        <v>10</v>
      </c>
      <c r="H81" s="43">
        <v>5</v>
      </c>
    </row>
    <row r="82" spans="2:8" ht="28.5" customHeight="1" thickBot="1" x14ac:dyDescent="0.45"/>
    <row r="83" spans="2:8" ht="28.5" customHeight="1" x14ac:dyDescent="0.4">
      <c r="B83" s="4" t="s">
        <v>20</v>
      </c>
      <c r="C83" s="5"/>
      <c r="D83" s="5"/>
      <c r="E83" s="5"/>
      <c r="F83" s="5"/>
      <c r="G83" s="5"/>
      <c r="H83" s="6"/>
    </row>
    <row r="84" spans="2:8" ht="28.5" customHeight="1" x14ac:dyDescent="0.4">
      <c r="B84" s="7"/>
      <c r="C84" t="s">
        <v>122</v>
      </c>
      <c r="D84" s="1"/>
      <c r="E84" s="1"/>
      <c r="F84" s="1"/>
      <c r="G84" s="1"/>
      <c r="H84" s="8"/>
    </row>
    <row r="85" spans="2:8" ht="28.5" customHeight="1" x14ac:dyDescent="0.4">
      <c r="B85" s="7"/>
      <c r="C85" t="s">
        <v>21</v>
      </c>
      <c r="D85" s="1"/>
      <c r="E85" s="1"/>
      <c r="F85" s="1"/>
      <c r="G85" s="1"/>
      <c r="H85" s="8"/>
    </row>
    <row r="86" spans="2:8" ht="28.5" customHeight="1" x14ac:dyDescent="0.4">
      <c r="B86" s="7"/>
      <c r="C86" s="1"/>
      <c r="D86" s="1"/>
      <c r="E86" s="1"/>
      <c r="F86" s="1"/>
      <c r="G86" s="1"/>
      <c r="H86" s="8"/>
    </row>
    <row r="87" spans="2:8" ht="28.5" customHeight="1" x14ac:dyDescent="0.4">
      <c r="B87" s="7"/>
      <c r="C87" s="1"/>
      <c r="D87" s="1"/>
      <c r="E87" s="1"/>
      <c r="F87" s="1"/>
      <c r="G87" s="1"/>
      <c r="H87" s="8"/>
    </row>
    <row r="88" spans="2:8" ht="28.5" customHeight="1" thickBot="1" x14ac:dyDescent="0.45">
      <c r="B88" s="9"/>
      <c r="C88" s="10"/>
      <c r="D88" s="10"/>
      <c r="E88" s="10"/>
      <c r="F88" s="10"/>
      <c r="G88" s="10"/>
      <c r="H88" s="11"/>
    </row>
    <row r="89" spans="2:8" ht="28.5" customHeight="1" x14ac:dyDescent="0.4"/>
    <row r="90" spans="2:8" ht="28.5" customHeight="1" x14ac:dyDescent="0.4"/>
    <row r="91" spans="2:8" ht="28.5" customHeight="1" x14ac:dyDescent="0.4"/>
    <row r="92" spans="2:8" ht="28.5" customHeight="1" x14ac:dyDescent="0.4"/>
    <row r="93" spans="2:8" ht="28.5" customHeight="1" x14ac:dyDescent="0.4"/>
    <row r="94" spans="2:8" ht="28.5" customHeight="1" x14ac:dyDescent="0.4"/>
    <row r="95" spans="2:8" ht="28.5" customHeight="1" x14ac:dyDescent="0.4"/>
    <row r="96" spans="2:8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  <row r="132" ht="28.5" customHeight="1" x14ac:dyDescent="0.4"/>
    <row r="133" ht="28.5" customHeight="1" x14ac:dyDescent="0.4"/>
    <row r="134" ht="28.5" customHeight="1" x14ac:dyDescent="0.4"/>
    <row r="135" ht="28.5" customHeight="1" x14ac:dyDescent="0.4"/>
  </sheetData>
  <mergeCells count="9">
    <mergeCell ref="K63:K64"/>
    <mergeCell ref="K71:K72"/>
    <mergeCell ref="K79:K80"/>
    <mergeCell ref="K11:K12"/>
    <mergeCell ref="K20:K21"/>
    <mergeCell ref="K30:K31"/>
    <mergeCell ref="K39:K40"/>
    <mergeCell ref="K47:K48"/>
    <mergeCell ref="K55:K56"/>
  </mergeCells>
  <phoneticPr fontId="2"/>
  <pageMargins left="0.43307086614173229" right="0.23622047244094491" top="0.74803149606299213" bottom="0.74803149606299213" header="0.31496062992125984" footer="0.31496062992125984"/>
  <pageSetup paperSize="9" scale="75" fitToHeight="0" orientation="portrait" r:id="rId1"/>
  <rowBreaks count="2" manualBreakCount="2">
    <brk id="33" max="16383" man="1"/>
    <brk id="65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4FBB-1D2E-42BF-AC30-129A42E9CFAD}">
  <sheetPr codeName="Sheet10"/>
  <dimension ref="A1:P131"/>
  <sheetViews>
    <sheetView topLeftCell="A29" zoomScaleNormal="100" workbookViewId="0">
      <selection activeCell="D43" sqref="D43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45079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1030225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127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3">
        <v>46</v>
      </c>
      <c r="D11" s="43">
        <v>965</v>
      </c>
      <c r="E11" s="46" t="s">
        <v>128</v>
      </c>
      <c r="F11" s="43">
        <v>0</v>
      </c>
      <c r="G11" s="43">
        <v>965</v>
      </c>
      <c r="H11" s="47">
        <v>7720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72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89</v>
      </c>
      <c r="C19" s="46" t="s">
        <v>105</v>
      </c>
      <c r="D19" s="47">
        <v>7720</v>
      </c>
      <c r="E19" s="47">
        <v>7714</v>
      </c>
      <c r="F19" s="43">
        <v>6</v>
      </c>
      <c r="G19" s="43">
        <v>0</v>
      </c>
      <c r="H19" s="43">
        <v>7714</v>
      </c>
      <c r="K19" s="51"/>
    </row>
    <row r="20" spans="1:11" ht="28.5" customHeight="1" x14ac:dyDescent="0.4">
      <c r="B20" s="42" t="s">
        <v>90</v>
      </c>
      <c r="C20" s="46" t="s">
        <v>105</v>
      </c>
      <c r="D20" s="47">
        <v>7714</v>
      </c>
      <c r="E20" s="47">
        <v>7579</v>
      </c>
      <c r="F20" s="43">
        <v>136</v>
      </c>
      <c r="G20" s="43">
        <v>0</v>
      </c>
      <c r="H20" s="43">
        <v>7578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62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73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14</v>
      </c>
      <c r="E26" s="20" t="s">
        <v>8</v>
      </c>
      <c r="F26" s="19" t="s">
        <v>15</v>
      </c>
      <c r="G26" s="19" t="s">
        <v>18</v>
      </c>
      <c r="H26" s="12"/>
      <c r="I26" s="12"/>
      <c r="K26" s="19" t="s">
        <v>11</v>
      </c>
    </row>
    <row r="27" spans="1:11" ht="28.5" customHeight="1" x14ac:dyDescent="0.4">
      <c r="B27" s="42"/>
      <c r="C27" s="43">
        <v>7578</v>
      </c>
      <c r="D27" s="43">
        <v>7578</v>
      </c>
      <c r="E27" s="43">
        <v>0</v>
      </c>
      <c r="F27" s="43">
        <v>78</v>
      </c>
      <c r="G27" s="43">
        <v>7500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48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49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124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64</v>
      </c>
      <c r="E34" s="20" t="s">
        <v>19</v>
      </c>
      <c r="F34" s="19" t="s">
        <v>65</v>
      </c>
      <c r="G34" s="19" t="s">
        <v>8</v>
      </c>
      <c r="H34" s="19" t="s">
        <v>15</v>
      </c>
      <c r="I34" s="19" t="s">
        <v>18</v>
      </c>
      <c r="K34" s="19" t="s">
        <v>11</v>
      </c>
    </row>
    <row r="35" spans="1:11" ht="28.5" customHeight="1" x14ac:dyDescent="0.4">
      <c r="B35" s="42"/>
      <c r="C35" s="43">
        <v>7500</v>
      </c>
      <c r="D35" s="46" t="s">
        <v>129</v>
      </c>
      <c r="E35" s="43"/>
      <c r="F35" s="43">
        <v>6910</v>
      </c>
      <c r="G35" s="43">
        <v>2</v>
      </c>
      <c r="H35" s="43">
        <v>588</v>
      </c>
      <c r="I35" s="43">
        <v>6910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H36" s="43"/>
      <c r="I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  <c r="H37" s="43"/>
      <c r="I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53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16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75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8</v>
      </c>
      <c r="G42" s="19" t="s">
        <v>18</v>
      </c>
      <c r="H42" s="12"/>
      <c r="I42" s="12"/>
      <c r="K42" s="19" t="s">
        <v>11</v>
      </c>
    </row>
    <row r="43" spans="1:11" ht="28.5" customHeight="1" x14ac:dyDescent="0.4">
      <c r="B43" s="42"/>
      <c r="C43" s="43">
        <v>6910</v>
      </c>
      <c r="D43" s="46" t="s">
        <v>130</v>
      </c>
      <c r="E43" s="43">
        <v>6</v>
      </c>
      <c r="F43" s="43">
        <v>0</v>
      </c>
      <c r="G43" s="43">
        <v>41460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54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126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97</v>
      </c>
      <c r="E50" s="20" t="s">
        <v>8</v>
      </c>
      <c r="F50" s="19" t="s">
        <v>15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 t="s">
        <v>94</v>
      </c>
      <c r="C51" s="43">
        <v>41400</v>
      </c>
      <c r="D51" s="43">
        <v>41400</v>
      </c>
      <c r="E51" s="43">
        <v>0</v>
      </c>
      <c r="F51" s="43">
        <v>0</v>
      </c>
      <c r="G51" s="43">
        <v>41400</v>
      </c>
      <c r="K51" s="51"/>
    </row>
    <row r="52" spans="1:11" ht="28.5" customHeight="1" x14ac:dyDescent="0.4">
      <c r="B52" s="42" t="s">
        <v>95</v>
      </c>
      <c r="C52" s="43">
        <v>50</v>
      </c>
      <c r="D52" s="43">
        <v>50</v>
      </c>
      <c r="E52" s="43">
        <v>0</v>
      </c>
      <c r="F52" s="43">
        <v>0</v>
      </c>
      <c r="G52" s="43">
        <v>50</v>
      </c>
      <c r="K52" s="52"/>
    </row>
    <row r="53" spans="1:11" ht="28.5" customHeight="1" x14ac:dyDescent="0.4">
      <c r="B53" s="42" t="s">
        <v>96</v>
      </c>
      <c r="C53" s="43">
        <v>10</v>
      </c>
      <c r="D53" s="43">
        <v>10</v>
      </c>
      <c r="E53" s="43">
        <v>0</v>
      </c>
      <c r="F53" s="43">
        <v>0</v>
      </c>
      <c r="G53" s="43">
        <v>10</v>
      </c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55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126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66</v>
      </c>
      <c r="E58" s="20" t="s">
        <v>8</v>
      </c>
      <c r="F58" s="19" t="s">
        <v>15</v>
      </c>
      <c r="G58" s="19" t="s">
        <v>67</v>
      </c>
      <c r="H58" s="30"/>
      <c r="I58" s="12"/>
      <c r="K58" s="19" t="s">
        <v>11</v>
      </c>
    </row>
    <row r="59" spans="1:11" ht="28.5" customHeight="1" x14ac:dyDescent="0.4">
      <c r="B59" s="42" t="s">
        <v>94</v>
      </c>
      <c r="C59" s="43">
        <v>41400</v>
      </c>
      <c r="D59" s="43">
        <v>41293</v>
      </c>
      <c r="E59" s="43">
        <v>0</v>
      </c>
      <c r="F59" s="43">
        <v>107</v>
      </c>
      <c r="G59" s="43">
        <v>41293</v>
      </c>
      <c r="K59" s="51"/>
    </row>
    <row r="60" spans="1:11" ht="28.5" customHeight="1" x14ac:dyDescent="0.4">
      <c r="B60" s="42" t="s">
        <v>95</v>
      </c>
      <c r="C60" s="43">
        <v>50</v>
      </c>
      <c r="D60" s="43">
        <v>20</v>
      </c>
      <c r="E60" s="43">
        <v>0</v>
      </c>
      <c r="F60" s="43">
        <v>30</v>
      </c>
      <c r="G60" s="43">
        <v>20</v>
      </c>
      <c r="K60" s="52"/>
    </row>
    <row r="61" spans="1:11" ht="28.5" customHeight="1" x14ac:dyDescent="0.4">
      <c r="B61" s="42" t="s">
        <v>96</v>
      </c>
      <c r="C61" s="43">
        <v>10</v>
      </c>
      <c r="D61" s="43">
        <v>5</v>
      </c>
      <c r="E61" s="43">
        <v>0</v>
      </c>
      <c r="F61" s="43">
        <v>5</v>
      </c>
      <c r="G61" s="43">
        <v>5</v>
      </c>
    </row>
    <row r="62" spans="1:11" ht="28.5" customHeight="1" thickBot="1" x14ac:dyDescent="0.45">
      <c r="B62" s="35"/>
    </row>
    <row r="63" spans="1:11" ht="28.5" customHeight="1" x14ac:dyDescent="0.4">
      <c r="B63" s="4" t="s">
        <v>20</v>
      </c>
      <c r="C63" s="5"/>
      <c r="D63" s="5"/>
      <c r="E63" s="5"/>
      <c r="F63" s="5"/>
      <c r="G63" s="5"/>
      <c r="H63" s="6"/>
    </row>
    <row r="64" spans="1:11" ht="28.5" customHeight="1" x14ac:dyDescent="0.4">
      <c r="B64" s="7"/>
      <c r="C64" t="s">
        <v>140</v>
      </c>
      <c r="D64" s="1"/>
      <c r="E64" s="1"/>
      <c r="F64" s="1"/>
      <c r="G64" s="1"/>
      <c r="H64" s="8"/>
    </row>
    <row r="65" spans="2:8" ht="28.5" customHeight="1" x14ac:dyDescent="0.4">
      <c r="B65" s="7"/>
      <c r="C65" t="s">
        <v>21</v>
      </c>
      <c r="D65" s="1"/>
      <c r="E65" s="1"/>
      <c r="F65" s="1"/>
      <c r="G65" s="1"/>
      <c r="H65" s="8"/>
    </row>
    <row r="66" spans="2:8" ht="28.5" customHeight="1" x14ac:dyDescent="0.4">
      <c r="B66" s="7"/>
      <c r="C66" s="1"/>
      <c r="D66" s="1"/>
      <c r="E66" s="1"/>
      <c r="F66" s="1"/>
      <c r="G66" s="1"/>
      <c r="H66" s="8"/>
    </row>
    <row r="67" spans="2:8" ht="28.5" customHeight="1" x14ac:dyDescent="0.4">
      <c r="B67" s="7"/>
      <c r="C67" s="1"/>
      <c r="D67" s="1"/>
      <c r="E67" s="1"/>
      <c r="F67" s="1"/>
      <c r="G67" s="1"/>
      <c r="H67" s="8"/>
    </row>
    <row r="68" spans="2:8" ht="28.5" customHeight="1" thickBot="1" x14ac:dyDescent="0.45">
      <c r="B68" s="9"/>
      <c r="C68" s="10"/>
      <c r="D68" s="10"/>
      <c r="E68" s="10"/>
      <c r="F68" s="10"/>
      <c r="G68" s="10"/>
      <c r="H68" s="11"/>
    </row>
    <row r="69" spans="2:8" ht="28.5" customHeight="1" x14ac:dyDescent="0.4"/>
    <row r="70" spans="2:8" ht="28.5" customHeight="1" x14ac:dyDescent="0.4"/>
    <row r="71" spans="2:8" ht="28.5" customHeight="1" x14ac:dyDescent="0.4"/>
    <row r="72" spans="2:8" ht="28.5" customHeight="1" x14ac:dyDescent="0.4"/>
    <row r="73" spans="2:8" ht="28.5" customHeight="1" x14ac:dyDescent="0.4"/>
    <row r="74" spans="2:8" ht="28.5" customHeight="1" x14ac:dyDescent="0.4"/>
    <row r="75" spans="2:8" ht="28.5" customHeight="1" x14ac:dyDescent="0.4"/>
    <row r="76" spans="2:8" ht="28.5" customHeight="1" x14ac:dyDescent="0.4"/>
    <row r="77" spans="2:8" ht="28.5" customHeight="1" x14ac:dyDescent="0.4"/>
    <row r="78" spans="2:8" ht="28.5" customHeight="1" x14ac:dyDescent="0.4"/>
    <row r="79" spans="2:8" ht="28.5" customHeight="1" x14ac:dyDescent="0.4"/>
    <row r="80" spans="2:8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7">
    <mergeCell ref="K59:K60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AD102-04A2-474A-9072-86C3B3808E52}">
  <sheetPr codeName="Sheet11"/>
  <dimension ref="A1:P131"/>
  <sheetViews>
    <sheetView topLeftCell="A51" zoomScaleNormal="100" workbookViewId="0">
      <selection activeCell="J58" sqref="J58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45079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1030226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138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3">
        <v>46</v>
      </c>
      <c r="D11" s="47">
        <v>8500</v>
      </c>
      <c r="E11" s="46" t="s">
        <v>135</v>
      </c>
      <c r="F11" s="43">
        <v>0</v>
      </c>
      <c r="G11" s="47">
        <v>8500</v>
      </c>
      <c r="H11" s="47">
        <v>8500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134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90</v>
      </c>
      <c r="C19" s="46" t="s">
        <v>135</v>
      </c>
      <c r="D19" s="47">
        <v>8500</v>
      </c>
      <c r="E19" s="47">
        <v>8230</v>
      </c>
      <c r="F19" s="43">
        <v>270</v>
      </c>
      <c r="G19" s="43">
        <v>0</v>
      </c>
      <c r="H19" s="47">
        <v>8230</v>
      </c>
      <c r="K19" s="51"/>
    </row>
    <row r="20" spans="1:11" ht="28.5" customHeight="1" x14ac:dyDescent="0.4">
      <c r="B20" s="42" t="s">
        <v>89</v>
      </c>
      <c r="C20" s="46" t="s">
        <v>135</v>
      </c>
      <c r="D20" s="47">
        <v>8230</v>
      </c>
      <c r="E20" s="47">
        <v>8155</v>
      </c>
      <c r="F20" s="43">
        <v>75</v>
      </c>
      <c r="G20" s="43">
        <v>0</v>
      </c>
      <c r="H20" s="47">
        <v>8155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23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75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17</v>
      </c>
      <c r="E26" s="20" t="s">
        <v>19</v>
      </c>
      <c r="F26" s="19" t="s">
        <v>14</v>
      </c>
      <c r="G26" s="19" t="s">
        <v>8</v>
      </c>
      <c r="H26" s="19" t="s">
        <v>18</v>
      </c>
      <c r="I26" s="12"/>
      <c r="K26" s="19" t="s">
        <v>11</v>
      </c>
    </row>
    <row r="27" spans="1:11" ht="28.5" customHeight="1" x14ac:dyDescent="0.4">
      <c r="B27" s="42"/>
      <c r="C27" s="47">
        <v>8155</v>
      </c>
      <c r="D27" s="46" t="s">
        <v>136</v>
      </c>
      <c r="E27" s="43">
        <v>4</v>
      </c>
      <c r="F27" s="47">
        <v>8155</v>
      </c>
      <c r="G27" s="47">
        <v>2</v>
      </c>
      <c r="H27" s="47">
        <v>32618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H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  <c r="H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62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16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133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14</v>
      </c>
      <c r="E34" s="20" t="s">
        <v>8</v>
      </c>
      <c r="F34" s="19" t="s">
        <v>15</v>
      </c>
      <c r="G34" s="19" t="s">
        <v>18</v>
      </c>
      <c r="H34" s="12"/>
      <c r="I34" s="12"/>
      <c r="K34" s="19" t="s">
        <v>11</v>
      </c>
    </row>
    <row r="35" spans="1:11" ht="28.5" customHeight="1" x14ac:dyDescent="0.4">
      <c r="B35" s="42"/>
      <c r="C35" s="47">
        <v>32618</v>
      </c>
      <c r="D35" s="47">
        <v>32618</v>
      </c>
      <c r="E35" s="43">
        <v>0</v>
      </c>
      <c r="F35" s="43">
        <v>18</v>
      </c>
      <c r="G35" s="47">
        <v>32600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48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49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124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64</v>
      </c>
      <c r="E42" s="20" t="s">
        <v>19</v>
      </c>
      <c r="F42" s="19" t="s">
        <v>65</v>
      </c>
      <c r="G42" s="19" t="s">
        <v>8</v>
      </c>
      <c r="H42" s="19" t="s">
        <v>15</v>
      </c>
      <c r="I42" s="19" t="s">
        <v>18</v>
      </c>
      <c r="K42" s="19" t="s">
        <v>11</v>
      </c>
    </row>
    <row r="43" spans="1:11" ht="28.5" customHeight="1" x14ac:dyDescent="0.4">
      <c r="B43" s="42"/>
      <c r="C43" s="47">
        <v>32600</v>
      </c>
      <c r="D43" s="46" t="s">
        <v>136</v>
      </c>
      <c r="E43" s="43"/>
      <c r="F43" s="47">
        <v>31093</v>
      </c>
      <c r="G43" s="43">
        <v>2</v>
      </c>
      <c r="H43" s="47">
        <v>1505</v>
      </c>
      <c r="I43" s="47">
        <v>31093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H44" s="43"/>
      <c r="I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  <c r="H45" s="43"/>
      <c r="I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53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75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17</v>
      </c>
      <c r="E50" s="20" t="s">
        <v>19</v>
      </c>
      <c r="F50" s="19" t="s">
        <v>8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/>
      <c r="C51" s="47">
        <v>31093</v>
      </c>
      <c r="D51" s="46" t="s">
        <v>137</v>
      </c>
      <c r="E51" s="43">
        <v>4</v>
      </c>
      <c r="F51" s="43">
        <v>0</v>
      </c>
      <c r="G51" s="47">
        <v>124372</v>
      </c>
      <c r="K51" s="51"/>
    </row>
    <row r="52" spans="1:11" ht="28.5" customHeight="1" x14ac:dyDescent="0.4">
      <c r="B52" s="42"/>
      <c r="C52" s="43"/>
      <c r="D52" s="43"/>
      <c r="E52" s="43"/>
      <c r="F52" s="43"/>
      <c r="G52" s="43"/>
      <c r="K52" s="52"/>
    </row>
    <row r="53" spans="1:11" ht="28.5" customHeight="1" x14ac:dyDescent="0.4">
      <c r="B53" s="42"/>
      <c r="C53" s="43"/>
      <c r="D53" s="43"/>
      <c r="E53" s="43"/>
      <c r="F53" s="43"/>
      <c r="G53" s="43"/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131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132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64</v>
      </c>
      <c r="E58" s="20" t="s">
        <v>8</v>
      </c>
      <c r="F58" s="19" t="s">
        <v>15</v>
      </c>
      <c r="G58" s="19" t="s">
        <v>99</v>
      </c>
      <c r="H58" s="12"/>
      <c r="J58" s="49"/>
      <c r="K58" s="48" t="s">
        <v>11</v>
      </c>
    </row>
    <row r="59" spans="1:11" ht="28.5" customHeight="1" x14ac:dyDescent="0.4">
      <c r="B59" s="42"/>
      <c r="C59" s="47">
        <v>124372</v>
      </c>
      <c r="D59" s="46" t="s">
        <v>137</v>
      </c>
      <c r="E59" s="43">
        <v>413</v>
      </c>
      <c r="F59" s="43">
        <v>0</v>
      </c>
      <c r="G59" s="47">
        <v>123959</v>
      </c>
      <c r="J59" s="53"/>
      <c r="K59" s="54"/>
    </row>
    <row r="60" spans="1:11" ht="28.5" customHeight="1" x14ac:dyDescent="0.4">
      <c r="B60" s="42"/>
      <c r="C60" s="43"/>
      <c r="D60" s="43"/>
      <c r="E60" s="43"/>
      <c r="F60" s="43"/>
      <c r="G60" s="43"/>
      <c r="J60" s="53"/>
      <c r="K60" s="55"/>
    </row>
    <row r="61" spans="1:11" ht="28.5" customHeight="1" x14ac:dyDescent="0.4">
      <c r="B61" s="42"/>
      <c r="C61" s="43"/>
      <c r="D61" s="43"/>
      <c r="E61" s="43"/>
      <c r="F61" s="43"/>
      <c r="G61" s="43"/>
    </row>
    <row r="62" spans="1:11" ht="28.5" customHeight="1" x14ac:dyDescent="0.4">
      <c r="B62" s="35"/>
    </row>
    <row r="63" spans="1:11" ht="28.5" customHeight="1" x14ac:dyDescent="0.4">
      <c r="A63" s="12"/>
      <c r="B63" s="17" t="s">
        <v>112</v>
      </c>
      <c r="C63" s="23" t="s">
        <v>55</v>
      </c>
      <c r="D63" s="12"/>
      <c r="E63" s="12"/>
      <c r="F63" s="12"/>
      <c r="G63" s="12"/>
      <c r="H63" s="12"/>
      <c r="I63" s="12"/>
    </row>
    <row r="64" spans="1:11" ht="28.5" customHeight="1" x14ac:dyDescent="0.4">
      <c r="A64" s="12"/>
      <c r="B64" s="18" t="s">
        <v>2</v>
      </c>
      <c r="C64" s="18" t="s">
        <v>16</v>
      </c>
      <c r="D64" s="12"/>
      <c r="E64" s="12"/>
      <c r="F64" s="12"/>
      <c r="G64" s="12"/>
      <c r="H64" s="12"/>
      <c r="I64" s="12"/>
    </row>
    <row r="65" spans="1:11" ht="28.5" customHeight="1" x14ac:dyDescent="0.4">
      <c r="A65" s="12"/>
      <c r="B65" s="17" t="s">
        <v>4</v>
      </c>
      <c r="C65" s="17" t="s">
        <v>126</v>
      </c>
      <c r="D65" s="12"/>
      <c r="E65" s="12"/>
      <c r="F65" s="12"/>
      <c r="G65" s="12"/>
      <c r="H65" s="12"/>
      <c r="I65" s="12"/>
    </row>
    <row r="66" spans="1:11" ht="28.5" customHeight="1" x14ac:dyDescent="0.4">
      <c r="A66" s="12"/>
      <c r="B66" s="19" t="s">
        <v>5</v>
      </c>
      <c r="C66" s="19" t="s">
        <v>13</v>
      </c>
      <c r="D66" s="19" t="s">
        <v>66</v>
      </c>
      <c r="E66" s="20" t="s">
        <v>8</v>
      </c>
      <c r="F66" s="19" t="s">
        <v>15</v>
      </c>
      <c r="G66" s="19" t="s">
        <v>67</v>
      </c>
      <c r="H66" s="30"/>
      <c r="I66" s="12"/>
      <c r="K66" s="19" t="s">
        <v>11</v>
      </c>
    </row>
    <row r="67" spans="1:11" ht="28.5" customHeight="1" x14ac:dyDescent="0.4">
      <c r="B67" s="42" t="s">
        <v>94</v>
      </c>
      <c r="C67" s="47">
        <v>123879</v>
      </c>
      <c r="D67" s="47">
        <v>123879</v>
      </c>
      <c r="E67" s="43">
        <v>0</v>
      </c>
      <c r="F67" s="43">
        <v>0</v>
      </c>
      <c r="G67" s="47">
        <v>123879</v>
      </c>
      <c r="K67" s="51"/>
    </row>
    <row r="68" spans="1:11" ht="28.5" customHeight="1" x14ac:dyDescent="0.4">
      <c r="B68" s="42" t="s">
        <v>95</v>
      </c>
      <c r="C68" s="43">
        <v>70</v>
      </c>
      <c r="D68" s="43">
        <v>20</v>
      </c>
      <c r="E68" s="43">
        <v>0</v>
      </c>
      <c r="F68" s="43">
        <v>50</v>
      </c>
      <c r="G68" s="43">
        <v>20</v>
      </c>
      <c r="K68" s="52"/>
    </row>
    <row r="69" spans="1:11" ht="28.5" customHeight="1" x14ac:dyDescent="0.4">
      <c r="B69" s="42" t="s">
        <v>96</v>
      </c>
      <c r="C69" s="43">
        <v>10</v>
      </c>
      <c r="D69" s="43">
        <v>5</v>
      </c>
      <c r="E69" s="43">
        <v>0</v>
      </c>
      <c r="F69" s="43">
        <v>5</v>
      </c>
      <c r="G69" s="43">
        <v>5</v>
      </c>
    </row>
    <row r="70" spans="1:11" ht="28.5" customHeight="1" thickBot="1" x14ac:dyDescent="0.45"/>
    <row r="71" spans="1:11" ht="28.5" customHeight="1" x14ac:dyDescent="0.4">
      <c r="B71" s="4" t="s">
        <v>20</v>
      </c>
      <c r="C71" s="5"/>
      <c r="D71" s="5"/>
      <c r="E71" s="5"/>
      <c r="F71" s="5"/>
      <c r="G71" s="5"/>
      <c r="H71" s="6"/>
    </row>
    <row r="72" spans="1:11" ht="28.5" customHeight="1" x14ac:dyDescent="0.4">
      <c r="B72" s="7"/>
      <c r="C72" t="s">
        <v>139</v>
      </c>
      <c r="D72" s="1"/>
      <c r="E72" s="1"/>
      <c r="F72" s="1"/>
      <c r="G72" s="1"/>
      <c r="H72" s="8"/>
    </row>
    <row r="73" spans="1:11" ht="28.5" customHeight="1" x14ac:dyDescent="0.4">
      <c r="B73" s="7"/>
      <c r="C73" t="s">
        <v>21</v>
      </c>
      <c r="D73" s="1"/>
      <c r="E73" s="1"/>
      <c r="F73" s="1"/>
      <c r="G73" s="1"/>
      <c r="H73" s="8"/>
    </row>
    <row r="74" spans="1:11" ht="28.5" customHeight="1" x14ac:dyDescent="0.4">
      <c r="B74" s="7"/>
      <c r="C74" s="1"/>
      <c r="D74" s="1"/>
      <c r="E74" s="1"/>
      <c r="F74" s="1"/>
      <c r="G74" s="1"/>
      <c r="H74" s="8"/>
    </row>
    <row r="75" spans="1:11" ht="28.5" customHeight="1" x14ac:dyDescent="0.4">
      <c r="B75" s="7"/>
      <c r="C75" s="1"/>
      <c r="D75" s="1"/>
      <c r="E75" s="1"/>
      <c r="F75" s="1"/>
      <c r="G75" s="1"/>
      <c r="H75" s="8"/>
    </row>
    <row r="76" spans="1:11" ht="28.5" customHeight="1" thickBot="1" x14ac:dyDescent="0.45">
      <c r="B76" s="9"/>
      <c r="C76" s="10"/>
      <c r="D76" s="10"/>
      <c r="E76" s="10"/>
      <c r="F76" s="10"/>
      <c r="G76" s="10"/>
      <c r="H76" s="11"/>
    </row>
    <row r="77" spans="1:11" ht="28.5" customHeight="1" x14ac:dyDescent="0.4"/>
    <row r="78" spans="1:11" ht="28.5" customHeight="1" x14ac:dyDescent="0.4"/>
    <row r="79" spans="1:11" ht="28.5" customHeight="1" x14ac:dyDescent="0.4"/>
    <row r="80" spans="1:11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9">
    <mergeCell ref="J59:J60"/>
    <mergeCell ref="K67:K68"/>
    <mergeCell ref="K11:K12"/>
    <mergeCell ref="K19:K20"/>
    <mergeCell ref="K27:K28"/>
    <mergeCell ref="K35:K36"/>
    <mergeCell ref="K43:K44"/>
    <mergeCell ref="K51:K52"/>
    <mergeCell ref="K59:K60"/>
  </mergeCells>
  <phoneticPr fontId="2"/>
  <pageMargins left="0.7" right="0.7" top="0.75" bottom="0.75" header="0.3" footer="0.3"/>
  <pageSetup paperSize="9" scale="67" orientation="portrait" r:id="rId1"/>
  <rowBreaks count="1" manualBreakCount="1">
    <brk id="37" max="10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053A-987D-4DBC-9104-139E83CEAFA2}">
  <sheetPr codeName="Sheet12"/>
  <dimension ref="A1:P131"/>
  <sheetViews>
    <sheetView topLeftCell="A61" zoomScaleNormal="100" workbookViewId="0">
      <selection activeCell="C64" sqref="C64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45099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1030243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141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6" t="s">
        <v>143</v>
      </c>
      <c r="D11" s="43">
        <v>545</v>
      </c>
      <c r="E11" s="46" t="s">
        <v>144</v>
      </c>
      <c r="F11" s="43">
        <v>0</v>
      </c>
      <c r="G11" s="43">
        <v>545</v>
      </c>
      <c r="H11" s="47">
        <v>2180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72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89</v>
      </c>
      <c r="C19" s="46" t="s">
        <v>145</v>
      </c>
      <c r="D19" s="47">
        <v>2180</v>
      </c>
      <c r="E19" s="47">
        <v>2180</v>
      </c>
      <c r="F19" s="43">
        <v>3</v>
      </c>
      <c r="G19" s="43">
        <v>0</v>
      </c>
      <c r="H19" s="47">
        <v>2177</v>
      </c>
      <c r="K19" s="51"/>
    </row>
    <row r="20" spans="1:11" ht="28.5" customHeight="1" x14ac:dyDescent="0.4">
      <c r="B20" s="42" t="s">
        <v>90</v>
      </c>
      <c r="C20" s="46" t="s">
        <v>145</v>
      </c>
      <c r="D20" s="47">
        <v>2177</v>
      </c>
      <c r="E20" s="47">
        <v>2177</v>
      </c>
      <c r="F20" s="43">
        <v>37</v>
      </c>
      <c r="G20" s="43">
        <v>0</v>
      </c>
      <c r="H20" s="47">
        <v>2140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46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73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64</v>
      </c>
      <c r="E26" s="20" t="s">
        <v>14</v>
      </c>
      <c r="F26" s="19" t="s">
        <v>8</v>
      </c>
      <c r="G26" s="19" t="s">
        <v>15</v>
      </c>
      <c r="H26" s="19" t="s">
        <v>18</v>
      </c>
      <c r="I26" s="12"/>
      <c r="K26" s="19" t="s">
        <v>11</v>
      </c>
    </row>
    <row r="27" spans="1:11" ht="28.5" customHeight="1" x14ac:dyDescent="0.4">
      <c r="B27" s="42"/>
      <c r="C27" s="47">
        <v>2140</v>
      </c>
      <c r="D27" s="46" t="s">
        <v>153</v>
      </c>
      <c r="E27" s="47">
        <v>2140</v>
      </c>
      <c r="F27" s="43">
        <v>40</v>
      </c>
      <c r="G27" s="43">
        <v>0</v>
      </c>
      <c r="H27" s="47">
        <v>2100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H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  <c r="H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48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49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124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64</v>
      </c>
      <c r="E34" s="20" t="s">
        <v>19</v>
      </c>
      <c r="F34" s="19" t="s">
        <v>65</v>
      </c>
      <c r="G34" s="19" t="s">
        <v>8</v>
      </c>
      <c r="H34" s="19" t="s">
        <v>15</v>
      </c>
      <c r="I34" s="19" t="s">
        <v>18</v>
      </c>
      <c r="K34" s="19" t="s">
        <v>11</v>
      </c>
    </row>
    <row r="35" spans="1:11" ht="28.5" customHeight="1" x14ac:dyDescent="0.4">
      <c r="B35" s="42" t="s">
        <v>85</v>
      </c>
      <c r="C35" s="47">
        <v>2100</v>
      </c>
      <c r="D35" s="42" t="s">
        <v>154</v>
      </c>
      <c r="E35" s="43"/>
      <c r="F35" s="47">
        <v>1472</v>
      </c>
      <c r="G35" s="43">
        <v>53</v>
      </c>
      <c r="H35" s="43">
        <v>628</v>
      </c>
      <c r="I35" s="47">
        <v>1419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H36" s="43"/>
      <c r="I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  <c r="H37" s="43"/>
      <c r="I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53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16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75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8</v>
      </c>
      <c r="G42" s="19" t="s">
        <v>18</v>
      </c>
      <c r="H42" s="12"/>
      <c r="I42" s="12"/>
      <c r="K42" s="19" t="s">
        <v>11</v>
      </c>
    </row>
    <row r="43" spans="1:11" ht="28.5" customHeight="1" x14ac:dyDescent="0.4">
      <c r="B43" s="42"/>
      <c r="C43" s="47">
        <v>1419</v>
      </c>
      <c r="D43" s="46" t="s">
        <v>156</v>
      </c>
      <c r="E43" s="43">
        <v>6</v>
      </c>
      <c r="F43" s="43">
        <v>0</v>
      </c>
      <c r="G43" s="47">
        <v>8514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54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76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97</v>
      </c>
      <c r="E50" s="20" t="s">
        <v>8</v>
      </c>
      <c r="F50" s="19" t="s">
        <v>15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 t="s">
        <v>94</v>
      </c>
      <c r="C51" s="47">
        <v>8454</v>
      </c>
      <c r="D51" s="47">
        <v>8454</v>
      </c>
      <c r="E51" s="43">
        <v>0</v>
      </c>
      <c r="F51" s="43">
        <v>0</v>
      </c>
      <c r="G51" s="47">
        <v>8454</v>
      </c>
      <c r="K51" s="51"/>
    </row>
    <row r="52" spans="1:11" ht="28.5" customHeight="1" x14ac:dyDescent="0.4">
      <c r="B52" s="42" t="s">
        <v>95</v>
      </c>
      <c r="C52" s="43">
        <v>55</v>
      </c>
      <c r="D52" s="43">
        <v>55</v>
      </c>
      <c r="E52" s="43">
        <v>0</v>
      </c>
      <c r="F52" s="43">
        <v>0</v>
      </c>
      <c r="G52" s="43">
        <v>55</v>
      </c>
      <c r="K52" s="52"/>
    </row>
    <row r="53" spans="1:11" ht="28.5" customHeight="1" x14ac:dyDescent="0.4">
      <c r="B53" s="42" t="s">
        <v>96</v>
      </c>
      <c r="C53" s="43">
        <v>5</v>
      </c>
      <c r="D53" s="43">
        <v>5</v>
      </c>
      <c r="E53" s="43">
        <v>0</v>
      </c>
      <c r="F53" s="43">
        <v>0</v>
      </c>
      <c r="G53" s="43">
        <v>5</v>
      </c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55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76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66</v>
      </c>
      <c r="E58" s="20" t="s">
        <v>8</v>
      </c>
      <c r="F58" s="19" t="s">
        <v>15</v>
      </c>
      <c r="G58" s="19" t="s">
        <v>67</v>
      </c>
      <c r="H58" s="30"/>
      <c r="I58" s="12"/>
      <c r="K58" s="19" t="s">
        <v>11</v>
      </c>
    </row>
    <row r="59" spans="1:11" ht="28.5" customHeight="1" x14ac:dyDescent="0.4">
      <c r="B59" s="42" t="s">
        <v>94</v>
      </c>
      <c r="C59" s="47">
        <v>8454</v>
      </c>
      <c r="D59" s="47">
        <v>8450</v>
      </c>
      <c r="E59" s="43">
        <v>4</v>
      </c>
      <c r="F59" s="43">
        <v>0</v>
      </c>
      <c r="G59" s="47">
        <v>8450</v>
      </c>
      <c r="K59" s="51"/>
    </row>
    <row r="60" spans="1:11" ht="28.5" customHeight="1" x14ac:dyDescent="0.4">
      <c r="B60" s="42" t="s">
        <v>95</v>
      </c>
      <c r="C60" s="43">
        <v>55</v>
      </c>
      <c r="D60" s="43">
        <v>40</v>
      </c>
      <c r="E60" s="43">
        <v>0</v>
      </c>
      <c r="F60" s="43">
        <v>15</v>
      </c>
      <c r="G60" s="43">
        <v>40</v>
      </c>
      <c r="K60" s="52"/>
    </row>
    <row r="61" spans="1:11" ht="28.5" customHeight="1" x14ac:dyDescent="0.4">
      <c r="B61" s="42" t="s">
        <v>96</v>
      </c>
      <c r="C61" s="43">
        <v>5</v>
      </c>
      <c r="D61" s="43">
        <v>5</v>
      </c>
      <c r="E61" s="43">
        <v>0</v>
      </c>
      <c r="F61" s="43">
        <v>0</v>
      </c>
      <c r="G61" s="43">
        <v>5</v>
      </c>
    </row>
    <row r="62" spans="1:11" ht="28.5" customHeight="1" thickBot="1" x14ac:dyDescent="0.45">
      <c r="B62" s="35"/>
    </row>
    <row r="63" spans="1:11" ht="28.5" customHeight="1" x14ac:dyDescent="0.4">
      <c r="B63" s="4" t="s">
        <v>20</v>
      </c>
      <c r="C63" s="5"/>
      <c r="D63" s="5"/>
      <c r="E63" s="5"/>
      <c r="F63" s="5"/>
      <c r="G63" s="5"/>
      <c r="H63" s="6"/>
    </row>
    <row r="64" spans="1:11" ht="28.5" customHeight="1" x14ac:dyDescent="0.4">
      <c r="B64" s="7"/>
      <c r="C64" t="s">
        <v>165</v>
      </c>
      <c r="D64" s="1"/>
      <c r="E64" s="1"/>
      <c r="F64" s="1"/>
      <c r="G64" s="1"/>
      <c r="H64" s="8"/>
    </row>
    <row r="65" spans="2:8" ht="28.5" customHeight="1" x14ac:dyDescent="0.4">
      <c r="B65" s="7"/>
      <c r="C65" t="s">
        <v>21</v>
      </c>
      <c r="D65" s="1"/>
      <c r="E65" s="1"/>
      <c r="F65" s="1"/>
      <c r="G65" s="1"/>
      <c r="H65" s="8"/>
    </row>
    <row r="66" spans="2:8" ht="28.5" customHeight="1" x14ac:dyDescent="0.4">
      <c r="B66" s="7"/>
      <c r="C66" s="1"/>
      <c r="D66" s="1"/>
      <c r="E66" s="1"/>
      <c r="F66" s="1"/>
      <c r="G66" s="1"/>
      <c r="H66" s="8"/>
    </row>
    <row r="67" spans="2:8" ht="28.5" customHeight="1" x14ac:dyDescent="0.4">
      <c r="B67" s="7"/>
      <c r="C67" s="1"/>
      <c r="D67" s="1"/>
      <c r="E67" s="1"/>
      <c r="F67" s="1"/>
      <c r="G67" s="1"/>
      <c r="H67" s="8"/>
    </row>
    <row r="68" spans="2:8" ht="28.5" customHeight="1" thickBot="1" x14ac:dyDescent="0.45">
      <c r="B68" s="9"/>
      <c r="C68" s="10"/>
      <c r="D68" s="10"/>
      <c r="E68" s="10"/>
      <c r="F68" s="10"/>
      <c r="G68" s="10"/>
      <c r="H68" s="11"/>
    </row>
    <row r="69" spans="2:8" ht="28.5" customHeight="1" x14ac:dyDescent="0.4"/>
    <row r="70" spans="2:8" ht="28.5" customHeight="1" x14ac:dyDescent="0.4"/>
    <row r="71" spans="2:8" ht="28.5" customHeight="1" x14ac:dyDescent="0.4"/>
    <row r="72" spans="2:8" ht="28.5" customHeight="1" x14ac:dyDescent="0.4"/>
    <row r="73" spans="2:8" ht="28.5" customHeight="1" x14ac:dyDescent="0.4"/>
    <row r="74" spans="2:8" ht="28.5" customHeight="1" x14ac:dyDescent="0.4"/>
    <row r="75" spans="2:8" ht="28.5" customHeight="1" x14ac:dyDescent="0.4"/>
    <row r="76" spans="2:8" ht="28.5" customHeight="1" x14ac:dyDescent="0.4"/>
    <row r="77" spans="2:8" ht="28.5" customHeight="1" x14ac:dyDescent="0.4"/>
    <row r="78" spans="2:8" ht="28.5" customHeight="1" x14ac:dyDescent="0.4"/>
    <row r="79" spans="2:8" ht="28.5" customHeight="1" x14ac:dyDescent="0.4"/>
    <row r="80" spans="2:8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7">
    <mergeCell ref="K59:K60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C7A8-B3B2-4C7D-B261-A15ED3681EF1}">
  <sheetPr codeName="Sheet13"/>
  <dimension ref="A1:P131"/>
  <sheetViews>
    <sheetView topLeftCell="A17" zoomScaleNormal="100" workbookViewId="0">
      <selection activeCell="B27" sqref="B27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45092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1030225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149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146</v>
      </c>
      <c r="C7" s="23" t="s">
        <v>48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49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124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13</v>
      </c>
      <c r="D10" s="19" t="s">
        <v>64</v>
      </c>
      <c r="E10" s="20" t="s">
        <v>19</v>
      </c>
      <c r="F10" s="19" t="s">
        <v>65</v>
      </c>
      <c r="G10" s="19" t="s">
        <v>8</v>
      </c>
      <c r="H10" s="19" t="s">
        <v>15</v>
      </c>
      <c r="I10" s="19" t="s">
        <v>18</v>
      </c>
      <c r="K10" s="19" t="s">
        <v>11</v>
      </c>
    </row>
    <row r="11" spans="1:16" ht="28.5" customHeight="1" x14ac:dyDescent="0.4">
      <c r="B11" s="42"/>
      <c r="C11" s="43">
        <v>19</v>
      </c>
      <c r="D11" s="46" t="s">
        <v>129</v>
      </c>
      <c r="E11" s="43">
        <v>4</v>
      </c>
      <c r="F11" s="43">
        <v>19</v>
      </c>
      <c r="G11" s="43">
        <v>2</v>
      </c>
      <c r="H11" s="43">
        <v>568</v>
      </c>
      <c r="I11" s="43">
        <v>18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I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  <c r="I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147</v>
      </c>
      <c r="C15" s="23" t="s">
        <v>53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16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75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19" t="s">
        <v>13</v>
      </c>
      <c r="D18" s="19" t="s">
        <v>17</v>
      </c>
      <c r="E18" s="20" t="s">
        <v>19</v>
      </c>
      <c r="F18" s="19" t="s">
        <v>8</v>
      </c>
      <c r="G18" s="19" t="s">
        <v>18</v>
      </c>
      <c r="H18" s="12"/>
      <c r="I18" s="12"/>
      <c r="K18" s="19" t="s">
        <v>11</v>
      </c>
    </row>
    <row r="19" spans="1:11" ht="28.5" customHeight="1" x14ac:dyDescent="0.4">
      <c r="B19" s="42"/>
      <c r="C19" s="43">
        <v>18</v>
      </c>
      <c r="D19" s="46" t="s">
        <v>130</v>
      </c>
      <c r="E19" s="43">
        <v>4</v>
      </c>
      <c r="F19" s="43">
        <v>0</v>
      </c>
      <c r="G19" s="43">
        <v>72</v>
      </c>
      <c r="K19" s="51"/>
    </row>
    <row r="20" spans="1:11" ht="28.5" customHeight="1" x14ac:dyDescent="0.4">
      <c r="B20" s="42"/>
      <c r="C20" s="43"/>
      <c r="D20" s="43"/>
      <c r="E20" s="43"/>
      <c r="F20" s="43"/>
      <c r="G20" s="43"/>
      <c r="K20" s="52"/>
    </row>
    <row r="21" spans="1:11" ht="28.5" customHeight="1" x14ac:dyDescent="0.4">
      <c r="B21" s="42"/>
      <c r="C21" s="43"/>
      <c r="D21" s="43"/>
      <c r="E21" s="43"/>
      <c r="F21" s="43"/>
      <c r="G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148</v>
      </c>
      <c r="C23" s="23" t="s">
        <v>55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76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66</v>
      </c>
      <c r="E26" s="20" t="s">
        <v>8</v>
      </c>
      <c r="F26" s="19" t="s">
        <v>15</v>
      </c>
      <c r="G26" s="19" t="s">
        <v>67</v>
      </c>
      <c r="H26" s="30"/>
      <c r="I26" s="12"/>
      <c r="K26" s="19" t="s">
        <v>11</v>
      </c>
    </row>
    <row r="27" spans="1:11" ht="28.5" customHeight="1" x14ac:dyDescent="0.4">
      <c r="B27" s="42"/>
      <c r="C27" s="43">
        <v>72</v>
      </c>
      <c r="D27" s="43">
        <v>18</v>
      </c>
      <c r="E27" s="43">
        <v>0</v>
      </c>
      <c r="F27" s="43">
        <v>54</v>
      </c>
      <c r="G27" s="43">
        <v>18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thickBot="1" x14ac:dyDescent="0.45">
      <c r="B30" s="35"/>
    </row>
    <row r="31" spans="1:11" ht="28.5" customHeight="1" x14ac:dyDescent="0.4">
      <c r="B31" s="4" t="s">
        <v>20</v>
      </c>
      <c r="C31" s="5"/>
      <c r="D31" s="5"/>
      <c r="E31" s="5"/>
      <c r="F31" s="5"/>
      <c r="G31" s="5"/>
      <c r="H31" s="6"/>
    </row>
    <row r="32" spans="1:11" ht="28.5" customHeight="1" x14ac:dyDescent="0.4">
      <c r="B32" s="7"/>
      <c r="C32" t="s">
        <v>43</v>
      </c>
      <c r="D32" s="1"/>
      <c r="E32" s="1"/>
      <c r="F32" s="1"/>
      <c r="G32" s="1"/>
      <c r="H32" s="8"/>
    </row>
    <row r="33" spans="2:8" ht="28.5" customHeight="1" x14ac:dyDescent="0.4">
      <c r="B33" s="7"/>
      <c r="C33" t="s">
        <v>21</v>
      </c>
      <c r="D33" s="1"/>
      <c r="E33" s="1"/>
      <c r="F33" s="1"/>
      <c r="G33" s="1"/>
      <c r="H33" s="8"/>
    </row>
    <row r="34" spans="2:8" ht="28.5" customHeight="1" x14ac:dyDescent="0.4">
      <c r="B34" s="7"/>
      <c r="C34" s="1"/>
      <c r="D34" s="1"/>
      <c r="E34" s="1"/>
      <c r="F34" s="1"/>
      <c r="G34" s="1"/>
      <c r="H34" s="8"/>
    </row>
    <row r="35" spans="2:8" ht="28.5" customHeight="1" x14ac:dyDescent="0.4">
      <c r="B35" s="7"/>
      <c r="C35" s="1"/>
      <c r="D35" s="1"/>
      <c r="E35" s="1"/>
      <c r="F35" s="1"/>
      <c r="G35" s="1"/>
      <c r="H35" s="8"/>
    </row>
    <row r="36" spans="2:8" ht="28.5" customHeight="1" thickBot="1" x14ac:dyDescent="0.45">
      <c r="B36" s="9"/>
      <c r="C36" s="10"/>
      <c r="D36" s="10"/>
      <c r="E36" s="10"/>
      <c r="F36" s="10"/>
      <c r="G36" s="10"/>
      <c r="H36" s="11"/>
    </row>
    <row r="37" spans="2:8" ht="28.5" customHeight="1" x14ac:dyDescent="0.4">
      <c r="B37" s="35"/>
    </row>
    <row r="38" spans="2:8" ht="28.5" customHeight="1" x14ac:dyDescent="0.4">
      <c r="B38" s="35"/>
    </row>
    <row r="39" spans="2:8" ht="28.5" customHeight="1" x14ac:dyDescent="0.4">
      <c r="B39" s="35"/>
    </row>
    <row r="40" spans="2:8" ht="28.5" customHeight="1" x14ac:dyDescent="0.4">
      <c r="B40" s="35"/>
    </row>
    <row r="41" spans="2:8" ht="28.5" customHeight="1" x14ac:dyDescent="0.4">
      <c r="B41" s="35"/>
    </row>
    <row r="42" spans="2:8" ht="28.5" customHeight="1" x14ac:dyDescent="0.4">
      <c r="B42" s="35"/>
    </row>
    <row r="43" spans="2:8" ht="28.5" customHeight="1" x14ac:dyDescent="0.4">
      <c r="B43" s="35"/>
    </row>
    <row r="44" spans="2:8" ht="28.5" customHeight="1" x14ac:dyDescent="0.4">
      <c r="B44" s="35"/>
    </row>
    <row r="45" spans="2:8" ht="28.5" customHeight="1" x14ac:dyDescent="0.4">
      <c r="B45" s="35"/>
    </row>
    <row r="46" spans="2:8" ht="28.5" customHeight="1" x14ac:dyDescent="0.4">
      <c r="B46" s="35"/>
    </row>
    <row r="47" spans="2:8" ht="28.5" customHeight="1" x14ac:dyDescent="0.4">
      <c r="B47" s="35"/>
    </row>
    <row r="48" spans="2:8" ht="28.5" customHeight="1" x14ac:dyDescent="0.4">
      <c r="B48" s="35"/>
    </row>
    <row r="49" spans="2:2" ht="28.5" customHeight="1" x14ac:dyDescent="0.4">
      <c r="B49" s="35"/>
    </row>
    <row r="50" spans="2:2" ht="28.5" customHeight="1" x14ac:dyDescent="0.4">
      <c r="B50" s="35"/>
    </row>
    <row r="51" spans="2:2" ht="28.5" customHeight="1" x14ac:dyDescent="0.4">
      <c r="B51" s="35"/>
    </row>
    <row r="52" spans="2:2" ht="28.5" customHeight="1" x14ac:dyDescent="0.4">
      <c r="B52" s="35"/>
    </row>
    <row r="53" spans="2:2" ht="28.5" customHeight="1" x14ac:dyDescent="0.4">
      <c r="B53" s="35"/>
    </row>
    <row r="54" spans="2:2" ht="28.5" customHeight="1" x14ac:dyDescent="0.4">
      <c r="B54" s="35"/>
    </row>
    <row r="55" spans="2:2" ht="28.5" customHeight="1" x14ac:dyDescent="0.4">
      <c r="B55" s="35"/>
    </row>
    <row r="56" spans="2:2" ht="28.5" customHeight="1" x14ac:dyDescent="0.4">
      <c r="B56" s="35"/>
    </row>
    <row r="57" spans="2:2" ht="28.5" customHeight="1" x14ac:dyDescent="0.4">
      <c r="B57" s="35"/>
    </row>
    <row r="58" spans="2:2" ht="28.5" customHeight="1" x14ac:dyDescent="0.4">
      <c r="B58" s="35"/>
    </row>
    <row r="59" spans="2:2" ht="28.5" customHeight="1" x14ac:dyDescent="0.4">
      <c r="B59" s="35"/>
    </row>
    <row r="60" spans="2:2" ht="28.5" customHeight="1" x14ac:dyDescent="0.4">
      <c r="B60" s="35"/>
    </row>
    <row r="61" spans="2:2" ht="28.5" customHeight="1" x14ac:dyDescent="0.4">
      <c r="B61" s="35"/>
    </row>
    <row r="62" spans="2:2" ht="28.5" customHeight="1" x14ac:dyDescent="0.4">
      <c r="B62" s="35"/>
    </row>
    <row r="63" spans="2:2" ht="28.5" customHeight="1" x14ac:dyDescent="0.4"/>
    <row r="64" spans="2:2" ht="28.5" customHeight="1" x14ac:dyDescent="0.4"/>
    <row r="65" ht="28.5" customHeight="1" x14ac:dyDescent="0.4"/>
    <row r="66" ht="28.5" customHeight="1" x14ac:dyDescent="0.4"/>
    <row r="67" ht="28.5" customHeight="1" x14ac:dyDescent="0.4"/>
    <row r="68" ht="28.5" customHeight="1" x14ac:dyDescent="0.4"/>
    <row r="69" ht="28.5" customHeight="1" x14ac:dyDescent="0.4"/>
    <row r="70" ht="28.5" customHeight="1" x14ac:dyDescent="0.4"/>
    <row r="71" ht="28.5" customHeight="1" x14ac:dyDescent="0.4"/>
    <row r="72" ht="28.5" customHeight="1" x14ac:dyDescent="0.4"/>
    <row r="73" ht="28.5" customHeight="1" x14ac:dyDescent="0.4"/>
    <row r="74" ht="28.5" customHeight="1" x14ac:dyDescent="0.4"/>
    <row r="75" ht="28.5" customHeight="1" x14ac:dyDescent="0.4"/>
    <row r="76" ht="28.5" customHeight="1" x14ac:dyDescent="0.4"/>
    <row r="77" ht="28.5" customHeight="1" x14ac:dyDescent="0.4"/>
    <row r="78" ht="28.5" customHeight="1" x14ac:dyDescent="0.4"/>
    <row r="79" ht="28.5" customHeight="1" x14ac:dyDescent="0.4"/>
    <row r="80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3">
    <mergeCell ref="K11:K12"/>
    <mergeCell ref="K19:K20"/>
    <mergeCell ref="K27:K28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33979-2E43-46A0-9B50-911DBCE29C8B}">
  <sheetPr codeName="Sheet14"/>
  <dimension ref="A1:P131"/>
  <sheetViews>
    <sheetView zoomScaleNormal="100" workbookViewId="0">
      <selection activeCell="K1" sqref="K1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45099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1030411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150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6" t="s">
        <v>143</v>
      </c>
      <c r="D11" s="47">
        <v>5750</v>
      </c>
      <c r="E11" s="46" t="s">
        <v>144</v>
      </c>
      <c r="F11" s="43">
        <v>0</v>
      </c>
      <c r="G11" s="47">
        <v>5750</v>
      </c>
      <c r="H11" s="47">
        <v>23000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72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89</v>
      </c>
      <c r="C19" s="46" t="s">
        <v>153</v>
      </c>
      <c r="D19" s="47">
        <v>23000</v>
      </c>
      <c r="E19" s="47">
        <v>23000</v>
      </c>
      <c r="F19" s="43">
        <v>15</v>
      </c>
      <c r="G19" s="43">
        <v>0</v>
      </c>
      <c r="H19" s="47">
        <v>22985</v>
      </c>
      <c r="K19" s="51"/>
    </row>
    <row r="20" spans="1:11" ht="28.5" customHeight="1" x14ac:dyDescent="0.4">
      <c r="B20" s="42" t="s">
        <v>90</v>
      </c>
      <c r="C20" s="46" t="s">
        <v>153</v>
      </c>
      <c r="D20" s="47">
        <v>22985</v>
      </c>
      <c r="E20" s="47">
        <v>22985</v>
      </c>
      <c r="F20" s="43">
        <v>51</v>
      </c>
      <c r="G20" s="43">
        <v>0</v>
      </c>
      <c r="H20" s="43">
        <v>22934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62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76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14</v>
      </c>
      <c r="E26" s="20" t="s">
        <v>8</v>
      </c>
      <c r="F26" s="19" t="s">
        <v>15</v>
      </c>
      <c r="G26" s="19" t="s">
        <v>18</v>
      </c>
      <c r="H26" s="12"/>
      <c r="I26" s="12"/>
      <c r="K26" s="19" t="s">
        <v>11</v>
      </c>
    </row>
    <row r="27" spans="1:11" ht="28.5" customHeight="1" x14ac:dyDescent="0.4">
      <c r="B27" s="42"/>
      <c r="C27" s="47">
        <v>22934</v>
      </c>
      <c r="D27" s="47">
        <v>22934</v>
      </c>
      <c r="E27" s="43">
        <v>0</v>
      </c>
      <c r="F27" s="43">
        <v>34</v>
      </c>
      <c r="G27" s="47">
        <v>22900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48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49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124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64</v>
      </c>
      <c r="E34" s="20" t="s">
        <v>19</v>
      </c>
      <c r="F34" s="19" t="s">
        <v>65</v>
      </c>
      <c r="G34" s="19" t="s">
        <v>8</v>
      </c>
      <c r="H34" s="19" t="s">
        <v>15</v>
      </c>
      <c r="I34" s="19" t="s">
        <v>18</v>
      </c>
      <c r="K34" s="19" t="s">
        <v>11</v>
      </c>
    </row>
    <row r="35" spans="1:11" ht="28.5" customHeight="1" x14ac:dyDescent="0.4">
      <c r="B35" s="42" t="s">
        <v>85</v>
      </c>
      <c r="C35" s="47">
        <v>22900</v>
      </c>
      <c r="D35" s="46" t="s">
        <v>154</v>
      </c>
      <c r="E35" s="43"/>
      <c r="F35" s="47">
        <v>22316</v>
      </c>
      <c r="G35" s="43">
        <v>6</v>
      </c>
      <c r="H35" s="43">
        <v>584</v>
      </c>
      <c r="I35" s="47">
        <v>22310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H36" s="43"/>
      <c r="I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  <c r="H37" s="43"/>
      <c r="I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53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16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75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8</v>
      </c>
      <c r="G42" s="19" t="s">
        <v>18</v>
      </c>
      <c r="H42" s="12"/>
      <c r="I42" s="12"/>
      <c r="K42" s="19" t="s">
        <v>11</v>
      </c>
    </row>
    <row r="43" spans="1:11" ht="28.5" customHeight="1" x14ac:dyDescent="0.4">
      <c r="B43" s="42"/>
      <c r="C43" s="47">
        <v>22310</v>
      </c>
      <c r="D43" s="46" t="s">
        <v>155</v>
      </c>
      <c r="E43" s="43">
        <v>9</v>
      </c>
      <c r="F43" s="43">
        <v>0</v>
      </c>
      <c r="G43" s="47">
        <v>200790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54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76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97</v>
      </c>
      <c r="E50" s="20" t="s">
        <v>8</v>
      </c>
      <c r="F50" s="19" t="s">
        <v>15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 t="s">
        <v>94</v>
      </c>
      <c r="C51" s="47">
        <v>200700</v>
      </c>
      <c r="D51" s="47">
        <v>200000</v>
      </c>
      <c r="E51" s="43">
        <v>700</v>
      </c>
      <c r="F51" s="43">
        <v>0</v>
      </c>
      <c r="G51" s="47">
        <v>200700</v>
      </c>
      <c r="K51" s="51"/>
    </row>
    <row r="52" spans="1:11" ht="28.5" customHeight="1" x14ac:dyDescent="0.4">
      <c r="B52" s="42" t="s">
        <v>95</v>
      </c>
      <c r="C52" s="43">
        <v>85</v>
      </c>
      <c r="D52" s="43">
        <v>20</v>
      </c>
      <c r="E52" s="43"/>
      <c r="F52" s="43">
        <v>65</v>
      </c>
      <c r="G52" s="43">
        <v>85</v>
      </c>
      <c r="K52" s="52"/>
    </row>
    <row r="53" spans="1:11" ht="28.5" customHeight="1" x14ac:dyDescent="0.4">
      <c r="B53" s="42" t="s">
        <v>96</v>
      </c>
      <c r="C53" s="43">
        <v>5</v>
      </c>
      <c r="D53" s="43">
        <v>5</v>
      </c>
      <c r="E53" s="43">
        <v>0</v>
      </c>
      <c r="F53" s="43">
        <v>0</v>
      </c>
      <c r="G53" s="43">
        <v>5</v>
      </c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55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152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66</v>
      </c>
      <c r="E58" s="20" t="s">
        <v>8</v>
      </c>
      <c r="F58" s="19" t="s">
        <v>15</v>
      </c>
      <c r="G58" s="19" t="s">
        <v>67</v>
      </c>
      <c r="H58" s="30"/>
      <c r="I58" s="12"/>
      <c r="K58" s="19" t="s">
        <v>11</v>
      </c>
    </row>
    <row r="59" spans="1:11" ht="28.5" customHeight="1" x14ac:dyDescent="0.4">
      <c r="B59" s="42" t="s">
        <v>94</v>
      </c>
      <c r="C59" s="47">
        <v>200700</v>
      </c>
      <c r="D59" s="47">
        <v>200000</v>
      </c>
      <c r="E59" s="43">
        <v>700</v>
      </c>
      <c r="F59" s="43"/>
      <c r="G59" s="47">
        <v>200000</v>
      </c>
      <c r="K59" s="51"/>
    </row>
    <row r="60" spans="1:11" ht="28.5" customHeight="1" x14ac:dyDescent="0.4">
      <c r="B60" s="42" t="s">
        <v>95</v>
      </c>
      <c r="C60" s="43">
        <v>85</v>
      </c>
      <c r="D60" s="43">
        <v>20</v>
      </c>
      <c r="E60" s="43">
        <v>0</v>
      </c>
      <c r="F60" s="43">
        <v>65</v>
      </c>
      <c r="G60" s="43">
        <v>20</v>
      </c>
      <c r="K60" s="52"/>
    </row>
    <row r="61" spans="1:11" ht="28.5" customHeight="1" x14ac:dyDescent="0.4">
      <c r="B61" s="42" t="s">
        <v>96</v>
      </c>
      <c r="C61" s="43">
        <v>5</v>
      </c>
      <c r="D61" s="43">
        <v>5</v>
      </c>
      <c r="E61" s="43">
        <v>0</v>
      </c>
      <c r="F61" s="43"/>
      <c r="G61" s="43">
        <v>5</v>
      </c>
    </row>
    <row r="62" spans="1:11" ht="28.5" customHeight="1" thickBot="1" x14ac:dyDescent="0.45">
      <c r="B62" s="35"/>
    </row>
    <row r="63" spans="1:11" ht="28.5" customHeight="1" x14ac:dyDescent="0.4">
      <c r="B63" s="4" t="s">
        <v>20</v>
      </c>
      <c r="C63" s="5"/>
      <c r="D63" s="5"/>
      <c r="E63" s="5"/>
      <c r="F63" s="5"/>
      <c r="G63" s="5"/>
      <c r="H63" s="6"/>
    </row>
    <row r="64" spans="1:11" ht="28.5" customHeight="1" x14ac:dyDescent="0.4">
      <c r="B64" s="7"/>
      <c r="C64" t="s">
        <v>164</v>
      </c>
      <c r="D64" s="1"/>
      <c r="E64" s="1"/>
      <c r="F64" s="1"/>
      <c r="G64" s="1"/>
      <c r="H64" s="8"/>
    </row>
    <row r="65" spans="2:8" ht="28.5" customHeight="1" x14ac:dyDescent="0.4">
      <c r="B65" s="7"/>
      <c r="C65" t="s">
        <v>21</v>
      </c>
      <c r="D65" s="1"/>
      <c r="E65" s="1"/>
      <c r="F65" s="1"/>
      <c r="G65" s="1"/>
      <c r="H65" s="8"/>
    </row>
    <row r="66" spans="2:8" ht="28.5" customHeight="1" x14ac:dyDescent="0.4">
      <c r="B66" s="7"/>
      <c r="C66" s="1"/>
      <c r="D66" s="1"/>
      <c r="E66" s="1"/>
      <c r="F66" s="1"/>
      <c r="G66" s="1"/>
      <c r="H66" s="8"/>
    </row>
    <row r="67" spans="2:8" ht="28.5" customHeight="1" x14ac:dyDescent="0.4">
      <c r="B67" s="7"/>
      <c r="C67" s="1"/>
      <c r="D67" s="1"/>
      <c r="E67" s="1"/>
      <c r="F67" s="1"/>
      <c r="G67" s="1"/>
      <c r="H67" s="8"/>
    </row>
    <row r="68" spans="2:8" ht="28.5" customHeight="1" thickBot="1" x14ac:dyDescent="0.45">
      <c r="B68" s="9"/>
      <c r="C68" s="10"/>
      <c r="D68" s="10"/>
      <c r="E68" s="10"/>
      <c r="F68" s="10"/>
      <c r="G68" s="10"/>
      <c r="H68" s="11"/>
    </row>
    <row r="69" spans="2:8" ht="28.5" customHeight="1" x14ac:dyDescent="0.4"/>
    <row r="70" spans="2:8" ht="28.5" customHeight="1" x14ac:dyDescent="0.4"/>
    <row r="71" spans="2:8" ht="28.5" customHeight="1" x14ac:dyDescent="0.4"/>
    <row r="72" spans="2:8" ht="28.5" customHeight="1" x14ac:dyDescent="0.4"/>
    <row r="73" spans="2:8" ht="28.5" customHeight="1" x14ac:dyDescent="0.4"/>
    <row r="74" spans="2:8" ht="28.5" customHeight="1" x14ac:dyDescent="0.4"/>
    <row r="75" spans="2:8" ht="28.5" customHeight="1" x14ac:dyDescent="0.4"/>
    <row r="76" spans="2:8" ht="28.5" customHeight="1" x14ac:dyDescent="0.4"/>
    <row r="77" spans="2:8" ht="28.5" customHeight="1" x14ac:dyDescent="0.4"/>
    <row r="78" spans="2:8" ht="28.5" customHeight="1" x14ac:dyDescent="0.4"/>
    <row r="79" spans="2:8" ht="28.5" customHeight="1" x14ac:dyDescent="0.4"/>
    <row r="80" spans="2:8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7">
    <mergeCell ref="K59:K60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5A956-8D59-4AA8-BB77-C5B5F702555B}">
  <sheetPr codeName="Sheet15"/>
  <dimension ref="A1:P131"/>
  <sheetViews>
    <sheetView zoomScaleNormal="100" workbookViewId="0">
      <selection activeCell="K1" sqref="K1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45099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1030352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158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6" t="s">
        <v>87</v>
      </c>
      <c r="D11" s="47">
        <v>8000</v>
      </c>
      <c r="E11" s="46" t="s">
        <v>162</v>
      </c>
      <c r="F11" s="43">
        <v>0</v>
      </c>
      <c r="G11" s="47">
        <v>8000</v>
      </c>
      <c r="H11" s="47">
        <v>32000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72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90</v>
      </c>
      <c r="C19" s="46" t="s">
        <v>162</v>
      </c>
      <c r="D19" s="47">
        <v>32000</v>
      </c>
      <c r="E19" s="47">
        <v>32000</v>
      </c>
      <c r="F19" s="43">
        <v>38</v>
      </c>
      <c r="G19" s="43">
        <v>0</v>
      </c>
      <c r="H19" s="47">
        <v>31962</v>
      </c>
      <c r="K19" s="51"/>
    </row>
    <row r="20" spans="1:11" ht="28.5" customHeight="1" x14ac:dyDescent="0.4">
      <c r="B20" s="42" t="s">
        <v>89</v>
      </c>
      <c r="C20" s="46" t="s">
        <v>162</v>
      </c>
      <c r="D20" s="47">
        <v>31962</v>
      </c>
      <c r="E20" s="47">
        <v>31962</v>
      </c>
      <c r="F20" s="43">
        <v>77</v>
      </c>
      <c r="G20" s="43">
        <v>0</v>
      </c>
      <c r="H20" s="47">
        <v>31885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62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73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14</v>
      </c>
      <c r="E26" s="20" t="s">
        <v>8</v>
      </c>
      <c r="F26" s="19" t="s">
        <v>15</v>
      </c>
      <c r="G26" s="19" t="s">
        <v>18</v>
      </c>
      <c r="H26" s="12"/>
      <c r="I26" s="12"/>
      <c r="K26" s="19" t="s">
        <v>11</v>
      </c>
    </row>
    <row r="27" spans="1:11" ht="28.5" customHeight="1" x14ac:dyDescent="0.4">
      <c r="B27" s="42"/>
      <c r="C27" s="47">
        <v>31885</v>
      </c>
      <c r="D27" s="47">
        <v>31885</v>
      </c>
      <c r="E27" s="43">
        <v>0</v>
      </c>
      <c r="F27" s="43">
        <v>500</v>
      </c>
      <c r="G27" s="47">
        <v>31385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48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49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124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64</v>
      </c>
      <c r="E34" s="20" t="s">
        <v>19</v>
      </c>
      <c r="F34" s="19" t="s">
        <v>65</v>
      </c>
      <c r="G34" s="19" t="s">
        <v>8</v>
      </c>
      <c r="H34" s="19" t="s">
        <v>15</v>
      </c>
      <c r="I34" s="19" t="s">
        <v>18</v>
      </c>
      <c r="K34" s="19" t="s">
        <v>11</v>
      </c>
    </row>
    <row r="35" spans="1:11" ht="28.5" customHeight="1" x14ac:dyDescent="0.4">
      <c r="B35" s="42" t="s">
        <v>85</v>
      </c>
      <c r="C35" s="47">
        <v>31385</v>
      </c>
      <c r="D35" s="46" t="s">
        <v>162</v>
      </c>
      <c r="E35" s="43"/>
      <c r="F35" s="47">
        <v>30096</v>
      </c>
      <c r="G35" s="43">
        <v>90</v>
      </c>
      <c r="H35" s="47">
        <v>1289</v>
      </c>
      <c r="I35" s="47">
        <v>30006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H36" s="43"/>
      <c r="I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  <c r="H37" s="43"/>
      <c r="I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53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16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160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17</v>
      </c>
      <c r="E42" s="20" t="s">
        <v>19</v>
      </c>
      <c r="F42" s="19" t="s">
        <v>8</v>
      </c>
      <c r="G42" s="19" t="s">
        <v>18</v>
      </c>
      <c r="H42" s="12"/>
      <c r="I42" s="12"/>
      <c r="K42" s="19" t="s">
        <v>11</v>
      </c>
    </row>
    <row r="43" spans="1:11" ht="28.5" customHeight="1" x14ac:dyDescent="0.4">
      <c r="B43" s="42"/>
      <c r="C43" s="47">
        <v>30006</v>
      </c>
      <c r="D43" s="46" t="s">
        <v>162</v>
      </c>
      <c r="E43" s="43">
        <v>12</v>
      </c>
      <c r="F43" s="43">
        <v>1</v>
      </c>
      <c r="G43" s="47">
        <v>360060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54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126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97</v>
      </c>
      <c r="E50" s="20" t="s">
        <v>8</v>
      </c>
      <c r="F50" s="19" t="s">
        <v>15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 t="s">
        <v>94</v>
      </c>
      <c r="C51" s="47">
        <v>360000</v>
      </c>
      <c r="D51" s="47">
        <v>356000</v>
      </c>
      <c r="E51" s="43">
        <v>0</v>
      </c>
      <c r="F51" s="47">
        <v>4000</v>
      </c>
      <c r="G51" s="47">
        <v>356000</v>
      </c>
      <c r="K51" s="51"/>
    </row>
    <row r="52" spans="1:11" ht="28.5" customHeight="1" x14ac:dyDescent="0.4">
      <c r="B52" s="42" t="s">
        <v>95</v>
      </c>
      <c r="C52" s="43">
        <v>55</v>
      </c>
      <c r="D52" s="43">
        <v>20</v>
      </c>
      <c r="E52" s="43">
        <v>0</v>
      </c>
      <c r="F52" s="43">
        <v>35</v>
      </c>
      <c r="G52" s="43">
        <v>20</v>
      </c>
      <c r="K52" s="52"/>
    </row>
    <row r="53" spans="1:11" ht="28.5" customHeight="1" x14ac:dyDescent="0.4">
      <c r="B53" s="42" t="s">
        <v>96</v>
      </c>
      <c r="C53" s="43">
        <v>5</v>
      </c>
      <c r="D53" s="43">
        <v>5</v>
      </c>
      <c r="E53" s="43">
        <v>0</v>
      </c>
      <c r="F53" s="43">
        <v>0</v>
      </c>
      <c r="G53" s="43">
        <v>5</v>
      </c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55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126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66</v>
      </c>
      <c r="E58" s="20" t="s">
        <v>8</v>
      </c>
      <c r="F58" s="19" t="s">
        <v>15</v>
      </c>
      <c r="G58" s="19" t="s">
        <v>67</v>
      </c>
      <c r="H58" s="30"/>
      <c r="I58" s="12"/>
      <c r="K58" s="19" t="s">
        <v>11</v>
      </c>
    </row>
    <row r="59" spans="1:11" ht="28.5" customHeight="1" x14ac:dyDescent="0.4">
      <c r="B59" s="42" t="s">
        <v>94</v>
      </c>
      <c r="C59" s="47">
        <v>356000</v>
      </c>
      <c r="D59" s="47">
        <v>356000</v>
      </c>
      <c r="E59" s="43">
        <v>0</v>
      </c>
      <c r="F59" s="43">
        <v>0</v>
      </c>
      <c r="G59" s="47">
        <v>356000</v>
      </c>
      <c r="K59" s="51"/>
    </row>
    <row r="60" spans="1:11" ht="28.5" customHeight="1" x14ac:dyDescent="0.4">
      <c r="B60" s="42" t="s">
        <v>95</v>
      </c>
      <c r="C60" s="43">
        <v>20</v>
      </c>
      <c r="D60" s="43">
        <v>20</v>
      </c>
      <c r="E60" s="43">
        <v>0</v>
      </c>
      <c r="F60" s="43">
        <v>0</v>
      </c>
      <c r="G60" s="43">
        <v>20</v>
      </c>
      <c r="K60" s="52"/>
    </row>
    <row r="61" spans="1:11" ht="28.5" customHeight="1" x14ac:dyDescent="0.4">
      <c r="B61" s="42" t="s">
        <v>96</v>
      </c>
      <c r="C61" s="43">
        <v>5</v>
      </c>
      <c r="D61" s="43">
        <v>5</v>
      </c>
      <c r="E61" s="43">
        <v>0</v>
      </c>
      <c r="F61" s="43">
        <v>0</v>
      </c>
      <c r="G61" s="43">
        <v>5</v>
      </c>
    </row>
    <row r="62" spans="1:11" ht="28.5" customHeight="1" thickBot="1" x14ac:dyDescent="0.45">
      <c r="B62" s="35"/>
    </row>
    <row r="63" spans="1:11" ht="28.5" customHeight="1" x14ac:dyDescent="0.4">
      <c r="B63" s="4" t="s">
        <v>20</v>
      </c>
      <c r="C63" s="5"/>
      <c r="D63" s="5"/>
      <c r="E63" s="5"/>
      <c r="F63" s="5"/>
      <c r="G63" s="5"/>
      <c r="H63" s="6"/>
    </row>
    <row r="64" spans="1:11" ht="28.5" customHeight="1" x14ac:dyDescent="0.4">
      <c r="B64" s="7"/>
      <c r="C64" t="s">
        <v>163</v>
      </c>
      <c r="D64" s="1"/>
      <c r="E64" s="1"/>
      <c r="F64" s="1"/>
      <c r="G64" s="1"/>
      <c r="H64" s="8"/>
    </row>
    <row r="65" spans="2:8" ht="28.5" customHeight="1" x14ac:dyDescent="0.4">
      <c r="B65" s="7"/>
      <c r="C65" t="s">
        <v>21</v>
      </c>
      <c r="D65" s="1"/>
      <c r="E65" s="1"/>
      <c r="F65" s="1"/>
      <c r="G65" s="1"/>
      <c r="H65" s="8"/>
    </row>
    <row r="66" spans="2:8" ht="28.5" customHeight="1" x14ac:dyDescent="0.4">
      <c r="B66" s="7"/>
      <c r="C66" s="1"/>
      <c r="D66" s="1"/>
      <c r="E66" s="1"/>
      <c r="F66" s="1"/>
      <c r="G66" s="1"/>
      <c r="H66" s="8"/>
    </row>
    <row r="67" spans="2:8" ht="28.5" customHeight="1" x14ac:dyDescent="0.4">
      <c r="B67" s="7"/>
      <c r="C67" s="1"/>
      <c r="D67" s="1"/>
      <c r="E67" s="1"/>
      <c r="F67" s="1"/>
      <c r="G67" s="1"/>
      <c r="H67" s="8"/>
    </row>
    <row r="68" spans="2:8" ht="28.5" customHeight="1" thickBot="1" x14ac:dyDescent="0.45">
      <c r="B68" s="9"/>
      <c r="C68" s="10"/>
      <c r="D68" s="10"/>
      <c r="E68" s="10"/>
      <c r="F68" s="10"/>
      <c r="G68" s="10"/>
      <c r="H68" s="11"/>
    </row>
    <row r="69" spans="2:8" ht="28.5" customHeight="1" x14ac:dyDescent="0.4"/>
    <row r="70" spans="2:8" ht="28.5" customHeight="1" x14ac:dyDescent="0.4"/>
    <row r="71" spans="2:8" ht="28.5" customHeight="1" x14ac:dyDescent="0.4"/>
    <row r="72" spans="2:8" ht="28.5" customHeight="1" x14ac:dyDescent="0.4"/>
    <row r="73" spans="2:8" ht="28.5" customHeight="1" x14ac:dyDescent="0.4"/>
    <row r="74" spans="2:8" ht="28.5" customHeight="1" x14ac:dyDescent="0.4"/>
    <row r="75" spans="2:8" ht="28.5" customHeight="1" x14ac:dyDescent="0.4"/>
    <row r="76" spans="2:8" ht="28.5" customHeight="1" x14ac:dyDescent="0.4"/>
    <row r="77" spans="2:8" ht="28.5" customHeight="1" x14ac:dyDescent="0.4"/>
    <row r="78" spans="2:8" ht="28.5" customHeight="1" x14ac:dyDescent="0.4"/>
    <row r="79" spans="2:8" ht="28.5" customHeight="1" x14ac:dyDescent="0.4"/>
    <row r="80" spans="2:8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7">
    <mergeCell ref="K59:K60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3D48E-03E1-4BC6-B67C-2BD4685A3E46}">
  <sheetPr codeName="Sheet16"/>
  <dimension ref="A1:P131"/>
  <sheetViews>
    <sheetView tabSelected="1" topLeftCell="A66" zoomScaleNormal="100" workbookViewId="0">
      <selection activeCell="C72" sqref="C72"/>
    </sheetView>
  </sheetViews>
  <sheetFormatPr defaultRowHeight="18.75" x14ac:dyDescent="0.4"/>
  <cols>
    <col min="1" max="1" width="3.125" customWidth="1"/>
    <col min="2" max="9" width="11.625" customWidth="1"/>
    <col min="10" max="10" width="10.625" customWidth="1"/>
    <col min="11" max="12" width="10.125" customWidth="1"/>
    <col min="13" max="15" width="1.375" customWidth="1"/>
    <col min="16" max="16" width="10.625" customWidth="1"/>
    <col min="17" max="17" width="4" customWidth="1"/>
  </cols>
  <sheetData>
    <row r="1" spans="1:16" x14ac:dyDescent="0.4">
      <c r="A1" s="1"/>
      <c r="B1" s="1"/>
      <c r="C1" s="1"/>
      <c r="D1" s="1"/>
      <c r="E1" s="1"/>
      <c r="F1" s="1"/>
      <c r="H1" s="28"/>
      <c r="I1" s="28"/>
      <c r="J1" s="33" t="s">
        <v>1</v>
      </c>
      <c r="K1" s="31">
        <v>45121</v>
      </c>
      <c r="L1" s="40"/>
      <c r="M1" s="34"/>
      <c r="N1" s="34"/>
      <c r="O1" s="34"/>
      <c r="P1" s="27"/>
    </row>
    <row r="2" spans="1:16" ht="39.75" x14ac:dyDescent="0.4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6" ht="33" customHeight="1" x14ac:dyDescent="0.4"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6" ht="24" customHeight="1" thickBot="1" x14ac:dyDescent="0.45">
      <c r="B4" s="3" t="s">
        <v>39</v>
      </c>
      <c r="C4" s="3">
        <v>1030694</v>
      </c>
      <c r="D4" s="3"/>
      <c r="E4" s="1"/>
      <c r="G4" s="26"/>
      <c r="J4" s="36" t="s">
        <v>57</v>
      </c>
      <c r="K4" s="38" t="s">
        <v>58</v>
      </c>
      <c r="P4" s="37"/>
    </row>
    <row r="5" spans="1:16" ht="60" customHeight="1" thickTop="1" thickBot="1" x14ac:dyDescent="0.45">
      <c r="A5" s="1"/>
      <c r="B5" s="3" t="s">
        <v>40</v>
      </c>
      <c r="C5" s="3" t="s">
        <v>166</v>
      </c>
      <c r="D5" s="3"/>
      <c r="E5" s="1"/>
      <c r="G5" s="1"/>
      <c r="J5" s="32"/>
      <c r="K5" s="39"/>
    </row>
    <row r="6" spans="1:16" ht="28.5" customHeight="1" thickTop="1" x14ac:dyDescent="0.4">
      <c r="A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ht="28.5" customHeight="1" x14ac:dyDescent="0.4">
      <c r="A7" s="12"/>
      <c r="B7" s="17" t="s">
        <v>78</v>
      </c>
      <c r="C7" s="12" t="s">
        <v>38</v>
      </c>
      <c r="D7" s="12"/>
      <c r="E7" s="12"/>
      <c r="F7" s="12"/>
      <c r="G7" s="12"/>
      <c r="H7" s="12"/>
      <c r="I7" s="12"/>
    </row>
    <row r="8" spans="1:16" ht="28.5" customHeight="1" x14ac:dyDescent="0.4">
      <c r="A8" s="12"/>
      <c r="B8" s="18" t="s">
        <v>2</v>
      </c>
      <c r="C8" s="18" t="s">
        <v>3</v>
      </c>
      <c r="D8" s="12"/>
      <c r="E8" s="12"/>
      <c r="F8" s="12"/>
      <c r="G8" s="12"/>
      <c r="H8" s="12"/>
      <c r="I8" s="12"/>
    </row>
    <row r="9" spans="1:16" ht="28.5" customHeight="1" x14ac:dyDescent="0.4">
      <c r="A9" s="12"/>
      <c r="B9" s="17" t="s">
        <v>4</v>
      </c>
      <c r="C9" s="17" t="s">
        <v>77</v>
      </c>
      <c r="D9" s="12"/>
      <c r="E9" s="12"/>
      <c r="F9" s="12"/>
      <c r="G9" s="12"/>
      <c r="H9" s="12"/>
      <c r="I9" s="12"/>
    </row>
    <row r="10" spans="1:16" ht="28.5" customHeight="1" x14ac:dyDescent="0.4">
      <c r="A10" s="12"/>
      <c r="B10" s="19" t="s">
        <v>5</v>
      </c>
      <c r="C10" s="19" t="s">
        <v>6</v>
      </c>
      <c r="D10" s="19" t="s">
        <v>7</v>
      </c>
      <c r="E10" s="20" t="s">
        <v>17</v>
      </c>
      <c r="F10" s="19" t="s">
        <v>8</v>
      </c>
      <c r="G10" s="19" t="s">
        <v>9</v>
      </c>
      <c r="H10" s="19" t="s">
        <v>10</v>
      </c>
      <c r="I10" s="12"/>
      <c r="K10" s="19" t="s">
        <v>11</v>
      </c>
    </row>
    <row r="11" spans="1:16" ht="28.5" customHeight="1" x14ac:dyDescent="0.4">
      <c r="B11" s="42" t="s">
        <v>85</v>
      </c>
      <c r="C11" s="42" t="s">
        <v>87</v>
      </c>
      <c r="D11" s="47">
        <v>9200</v>
      </c>
      <c r="E11" s="42"/>
      <c r="F11" s="43"/>
      <c r="G11" s="47"/>
      <c r="H11" s="47">
        <v>9200</v>
      </c>
      <c r="K11" s="51"/>
    </row>
    <row r="12" spans="1:16" ht="28.5" customHeight="1" x14ac:dyDescent="0.4">
      <c r="B12" s="42"/>
      <c r="C12" s="43"/>
      <c r="D12" s="43"/>
      <c r="E12" s="43"/>
      <c r="F12" s="43"/>
      <c r="G12" s="43"/>
      <c r="H12" s="43"/>
      <c r="K12" s="52"/>
    </row>
    <row r="13" spans="1:16" ht="28.5" customHeight="1" x14ac:dyDescent="0.4">
      <c r="B13" s="42"/>
      <c r="C13" s="43"/>
      <c r="D13" s="43"/>
      <c r="E13" s="43"/>
      <c r="F13" s="43"/>
      <c r="G13" s="43"/>
      <c r="H13" s="43"/>
    </row>
    <row r="14" spans="1:16" ht="28.5" customHeight="1" x14ac:dyDescent="0.4">
      <c r="B14" s="35"/>
    </row>
    <row r="15" spans="1:16" ht="28.5" customHeight="1" x14ac:dyDescent="0.4">
      <c r="A15" s="12"/>
      <c r="B15" s="17" t="s">
        <v>79</v>
      </c>
      <c r="C15" s="12" t="s">
        <v>12</v>
      </c>
      <c r="D15" s="12"/>
      <c r="E15" s="12"/>
      <c r="F15" s="12"/>
      <c r="G15" s="12"/>
      <c r="H15" s="12"/>
      <c r="I15" s="12"/>
    </row>
    <row r="16" spans="1:16" ht="28.5" customHeight="1" x14ac:dyDescent="0.4">
      <c r="A16" s="12"/>
      <c r="B16" s="18" t="s">
        <v>2</v>
      </c>
      <c r="C16" s="18" t="s">
        <v>0</v>
      </c>
      <c r="D16" s="12"/>
      <c r="E16" s="12"/>
      <c r="F16" s="12"/>
      <c r="G16" s="12"/>
      <c r="H16" s="12"/>
      <c r="I16" s="12"/>
    </row>
    <row r="17" spans="1:11" ht="28.5" customHeight="1" x14ac:dyDescent="0.4">
      <c r="A17" s="12"/>
      <c r="B17" s="17" t="s">
        <v>4</v>
      </c>
      <c r="C17" s="17" t="s">
        <v>134</v>
      </c>
      <c r="D17" s="12"/>
      <c r="E17" s="12"/>
      <c r="F17" s="12"/>
      <c r="G17" s="12"/>
      <c r="H17" s="12"/>
      <c r="I17" s="12"/>
    </row>
    <row r="18" spans="1:11" ht="28.5" customHeight="1" x14ac:dyDescent="0.4">
      <c r="A18" s="12"/>
      <c r="B18" s="19" t="s">
        <v>5</v>
      </c>
      <c r="C18" s="20" t="s">
        <v>22</v>
      </c>
      <c r="D18" s="19" t="s">
        <v>13</v>
      </c>
      <c r="E18" s="19" t="s">
        <v>14</v>
      </c>
      <c r="F18" s="20" t="s">
        <v>8</v>
      </c>
      <c r="G18" s="20" t="s">
        <v>15</v>
      </c>
      <c r="H18" s="19" t="s">
        <v>10</v>
      </c>
      <c r="I18" s="12"/>
      <c r="K18" s="19" t="s">
        <v>11</v>
      </c>
    </row>
    <row r="19" spans="1:11" ht="28.5" customHeight="1" x14ac:dyDescent="0.4">
      <c r="B19" s="42" t="s">
        <v>90</v>
      </c>
      <c r="C19" s="46" t="s">
        <v>87</v>
      </c>
      <c r="D19" s="47">
        <v>9200</v>
      </c>
      <c r="E19" s="47">
        <v>9200</v>
      </c>
      <c r="F19" s="43">
        <v>35</v>
      </c>
      <c r="G19" s="43">
        <v>0</v>
      </c>
      <c r="H19" s="47">
        <v>9165</v>
      </c>
      <c r="K19" s="51"/>
    </row>
    <row r="20" spans="1:11" ht="28.5" customHeight="1" x14ac:dyDescent="0.4">
      <c r="B20" s="42" t="s">
        <v>89</v>
      </c>
      <c r="C20" s="46" t="s">
        <v>87</v>
      </c>
      <c r="D20" s="47">
        <v>9165</v>
      </c>
      <c r="E20" s="47">
        <v>9165</v>
      </c>
      <c r="F20" s="43">
        <v>32</v>
      </c>
      <c r="G20" s="43">
        <v>0</v>
      </c>
      <c r="H20" s="47">
        <v>9133</v>
      </c>
      <c r="K20" s="52"/>
    </row>
    <row r="21" spans="1:11" ht="28.5" customHeight="1" x14ac:dyDescent="0.4">
      <c r="B21" s="42"/>
      <c r="C21" s="43"/>
      <c r="D21" s="43"/>
      <c r="E21" s="43"/>
      <c r="F21" s="43"/>
      <c r="G21" s="43"/>
      <c r="H21" s="43"/>
    </row>
    <row r="22" spans="1:11" ht="28.5" customHeight="1" x14ac:dyDescent="0.4">
      <c r="B22" s="35"/>
    </row>
    <row r="23" spans="1:11" ht="28.5" customHeight="1" x14ac:dyDescent="0.4">
      <c r="A23" s="12"/>
      <c r="B23" s="17" t="s">
        <v>80</v>
      </c>
      <c r="C23" s="23" t="s">
        <v>23</v>
      </c>
      <c r="D23" s="12"/>
      <c r="E23" s="12"/>
      <c r="F23" s="12"/>
      <c r="G23" s="12"/>
      <c r="H23" s="12"/>
      <c r="I23" s="12"/>
    </row>
    <row r="24" spans="1:11" ht="28.5" customHeight="1" x14ac:dyDescent="0.4">
      <c r="A24" s="12"/>
      <c r="B24" s="18" t="s">
        <v>2</v>
      </c>
      <c r="C24" s="18" t="s">
        <v>16</v>
      </c>
      <c r="D24" s="12"/>
      <c r="E24" s="12"/>
      <c r="F24" s="12"/>
      <c r="G24" s="12"/>
      <c r="H24" s="12"/>
      <c r="I24" s="12"/>
    </row>
    <row r="25" spans="1:11" ht="28.5" customHeight="1" x14ac:dyDescent="0.4">
      <c r="A25" s="12"/>
      <c r="B25" s="17" t="s">
        <v>4</v>
      </c>
      <c r="C25" s="17" t="s">
        <v>75</v>
      </c>
      <c r="D25" s="12"/>
      <c r="E25" s="12"/>
      <c r="F25" s="12"/>
      <c r="G25" s="12"/>
      <c r="H25" s="12"/>
      <c r="I25" s="12"/>
    </row>
    <row r="26" spans="1:11" ht="28.5" customHeight="1" x14ac:dyDescent="0.4">
      <c r="A26" s="12"/>
      <c r="B26" s="19" t="s">
        <v>5</v>
      </c>
      <c r="C26" s="19" t="s">
        <v>13</v>
      </c>
      <c r="D26" s="19" t="s">
        <v>17</v>
      </c>
      <c r="E26" s="20" t="s">
        <v>19</v>
      </c>
      <c r="F26" s="19" t="s">
        <v>8</v>
      </c>
      <c r="G26" s="19" t="s">
        <v>18</v>
      </c>
      <c r="H26" s="12"/>
      <c r="I26" s="12"/>
      <c r="K26" s="19" t="s">
        <v>11</v>
      </c>
    </row>
    <row r="27" spans="1:11" ht="28.5" customHeight="1" x14ac:dyDescent="0.4">
      <c r="B27" s="42"/>
      <c r="C27" s="47">
        <v>9133</v>
      </c>
      <c r="D27" s="46" t="s">
        <v>171</v>
      </c>
      <c r="E27" s="43">
        <v>4</v>
      </c>
      <c r="F27" s="43">
        <v>16</v>
      </c>
      <c r="G27" s="47">
        <v>36516</v>
      </c>
      <c r="K27" s="51"/>
    </row>
    <row r="28" spans="1:11" ht="28.5" customHeight="1" x14ac:dyDescent="0.4">
      <c r="B28" s="42"/>
      <c r="C28" s="43"/>
      <c r="D28" s="43"/>
      <c r="E28" s="43"/>
      <c r="F28" s="43"/>
      <c r="G28" s="43"/>
      <c r="K28" s="52"/>
    </row>
    <row r="29" spans="1:11" ht="28.5" customHeight="1" x14ac:dyDescent="0.4">
      <c r="B29" s="42"/>
      <c r="C29" s="43"/>
      <c r="D29" s="43"/>
      <c r="E29" s="43"/>
      <c r="F29" s="43"/>
      <c r="G29" s="43"/>
    </row>
    <row r="30" spans="1:11" ht="28.5" customHeight="1" x14ac:dyDescent="0.4">
      <c r="B30" s="35"/>
    </row>
    <row r="31" spans="1:11" ht="28.5" customHeight="1" x14ac:dyDescent="0.4">
      <c r="A31" s="12"/>
      <c r="B31" s="17" t="s">
        <v>81</v>
      </c>
      <c r="C31" s="23" t="s">
        <v>62</v>
      </c>
      <c r="D31" s="12"/>
      <c r="E31" s="12"/>
      <c r="F31" s="12"/>
      <c r="G31" s="12"/>
      <c r="H31" s="12"/>
      <c r="I31" s="12"/>
    </row>
    <row r="32" spans="1:11" ht="28.5" customHeight="1" x14ac:dyDescent="0.4">
      <c r="A32" s="12"/>
      <c r="B32" s="18" t="s">
        <v>2</v>
      </c>
      <c r="C32" s="18" t="s">
        <v>16</v>
      </c>
      <c r="D32" s="12"/>
      <c r="E32" s="12"/>
      <c r="F32" s="12"/>
      <c r="G32" s="12"/>
      <c r="H32" s="12"/>
      <c r="I32" s="12"/>
    </row>
    <row r="33" spans="1:11" ht="28.5" customHeight="1" x14ac:dyDescent="0.4">
      <c r="A33" s="12"/>
      <c r="B33" s="17" t="s">
        <v>4</v>
      </c>
      <c r="C33" s="17" t="s">
        <v>73</v>
      </c>
      <c r="D33" s="12"/>
      <c r="E33" s="12"/>
      <c r="F33" s="12"/>
      <c r="G33" s="12"/>
      <c r="H33" s="12"/>
      <c r="I33" s="12"/>
    </row>
    <row r="34" spans="1:11" ht="28.5" customHeight="1" x14ac:dyDescent="0.4">
      <c r="A34" s="12"/>
      <c r="B34" s="19" t="s">
        <v>5</v>
      </c>
      <c r="C34" s="19" t="s">
        <v>13</v>
      </c>
      <c r="D34" s="19" t="s">
        <v>14</v>
      </c>
      <c r="E34" s="20" t="s">
        <v>8</v>
      </c>
      <c r="F34" s="19" t="s">
        <v>15</v>
      </c>
      <c r="G34" s="19" t="s">
        <v>18</v>
      </c>
      <c r="H34" s="12"/>
      <c r="I34" s="12"/>
      <c r="K34" s="19" t="s">
        <v>11</v>
      </c>
    </row>
    <row r="35" spans="1:11" ht="28.5" customHeight="1" x14ac:dyDescent="0.4">
      <c r="B35" s="42"/>
      <c r="C35" s="47">
        <v>36516</v>
      </c>
      <c r="D35" s="47">
        <v>36516</v>
      </c>
      <c r="E35" s="43">
        <v>0</v>
      </c>
      <c r="F35" s="43">
        <v>0</v>
      </c>
      <c r="G35" s="47">
        <v>36516</v>
      </c>
      <c r="K35" s="51"/>
    </row>
    <row r="36" spans="1:11" ht="28.5" customHeight="1" x14ac:dyDescent="0.4">
      <c r="B36" s="42"/>
      <c r="C36" s="43"/>
      <c r="D36" s="43"/>
      <c r="E36" s="43"/>
      <c r="F36" s="43"/>
      <c r="G36" s="43"/>
      <c r="K36" s="52"/>
    </row>
    <row r="37" spans="1:11" ht="28.5" customHeight="1" x14ac:dyDescent="0.4">
      <c r="B37" s="42"/>
      <c r="C37" s="43"/>
      <c r="D37" s="43"/>
      <c r="E37" s="43"/>
      <c r="F37" s="43"/>
      <c r="G37" s="43"/>
    </row>
    <row r="38" spans="1:11" ht="28.5" customHeight="1" x14ac:dyDescent="0.4">
      <c r="B38" s="35"/>
    </row>
    <row r="39" spans="1:11" ht="28.5" customHeight="1" x14ac:dyDescent="0.4">
      <c r="A39" s="12"/>
      <c r="B39" s="17" t="s">
        <v>82</v>
      </c>
      <c r="C39" s="23" t="s">
        <v>48</v>
      </c>
      <c r="D39" s="12"/>
      <c r="E39" s="12"/>
      <c r="F39" s="12"/>
      <c r="G39" s="12"/>
      <c r="H39" s="12"/>
      <c r="I39" s="12"/>
    </row>
    <row r="40" spans="1:11" ht="28.5" customHeight="1" x14ac:dyDescent="0.4">
      <c r="A40" s="12"/>
      <c r="B40" s="18" t="s">
        <v>2</v>
      </c>
      <c r="C40" s="18" t="s">
        <v>49</v>
      </c>
      <c r="D40" s="12"/>
      <c r="E40" s="12"/>
      <c r="F40" s="12"/>
      <c r="G40" s="12"/>
      <c r="H40" s="12"/>
      <c r="I40" s="12"/>
    </row>
    <row r="41" spans="1:11" ht="28.5" customHeight="1" x14ac:dyDescent="0.4">
      <c r="A41" s="12"/>
      <c r="B41" s="17" t="s">
        <v>4</v>
      </c>
      <c r="C41" s="17" t="s">
        <v>124</v>
      </c>
      <c r="D41" s="12"/>
      <c r="E41" s="12"/>
      <c r="F41" s="12"/>
      <c r="G41" s="12"/>
      <c r="H41" s="12"/>
      <c r="I41" s="12"/>
    </row>
    <row r="42" spans="1:11" ht="28.5" customHeight="1" x14ac:dyDescent="0.4">
      <c r="A42" s="12"/>
      <c r="B42" s="19" t="s">
        <v>5</v>
      </c>
      <c r="C42" s="19" t="s">
        <v>13</v>
      </c>
      <c r="D42" s="19" t="s">
        <v>64</v>
      </c>
      <c r="E42" s="20" t="s">
        <v>19</v>
      </c>
      <c r="F42" s="19" t="s">
        <v>65</v>
      </c>
      <c r="G42" s="19" t="s">
        <v>8</v>
      </c>
      <c r="H42" s="19" t="s">
        <v>15</v>
      </c>
      <c r="I42" s="19" t="s">
        <v>18</v>
      </c>
      <c r="K42" s="19" t="s">
        <v>11</v>
      </c>
    </row>
    <row r="43" spans="1:11" ht="28.5" customHeight="1" x14ac:dyDescent="0.4">
      <c r="B43" s="42"/>
      <c r="C43" s="47">
        <v>36516</v>
      </c>
      <c r="D43" s="46" t="s">
        <v>171</v>
      </c>
      <c r="E43" s="43"/>
      <c r="F43" s="47">
        <v>36314</v>
      </c>
      <c r="G43" s="43">
        <v>114</v>
      </c>
      <c r="H43" s="43">
        <v>202</v>
      </c>
      <c r="I43" s="47">
        <v>36200</v>
      </c>
      <c r="K43" s="51"/>
    </row>
    <row r="44" spans="1:11" ht="28.5" customHeight="1" x14ac:dyDescent="0.4">
      <c r="B44" s="42"/>
      <c r="C44" s="43"/>
      <c r="D44" s="43"/>
      <c r="E44" s="43"/>
      <c r="F44" s="43"/>
      <c r="G44" s="43"/>
      <c r="H44" s="43"/>
      <c r="I44" s="43"/>
      <c r="K44" s="52"/>
    </row>
    <row r="45" spans="1:11" ht="28.5" customHeight="1" x14ac:dyDescent="0.4">
      <c r="B45" s="42"/>
      <c r="C45" s="43"/>
      <c r="D45" s="43"/>
      <c r="E45" s="43"/>
      <c r="F45" s="43"/>
      <c r="G45" s="43"/>
      <c r="H45" s="43"/>
      <c r="I45" s="43"/>
    </row>
    <row r="46" spans="1:11" ht="28.5" customHeight="1" x14ac:dyDescent="0.4">
      <c r="B46" s="35"/>
    </row>
    <row r="47" spans="1:11" ht="28.5" customHeight="1" x14ac:dyDescent="0.4">
      <c r="A47" s="12"/>
      <c r="B47" s="17" t="s">
        <v>83</v>
      </c>
      <c r="C47" s="23" t="s">
        <v>53</v>
      </c>
      <c r="D47" s="12"/>
      <c r="E47" s="12"/>
      <c r="F47" s="12"/>
      <c r="G47" s="12"/>
      <c r="H47" s="12"/>
      <c r="I47" s="12"/>
    </row>
    <row r="48" spans="1:11" ht="28.5" customHeight="1" x14ac:dyDescent="0.4">
      <c r="A48" s="12"/>
      <c r="B48" s="18" t="s">
        <v>2</v>
      </c>
      <c r="C48" s="18" t="s">
        <v>16</v>
      </c>
      <c r="D48" s="12"/>
      <c r="E48" s="12"/>
      <c r="F48" s="12"/>
      <c r="G48" s="12"/>
      <c r="H48" s="12"/>
      <c r="I48" s="12"/>
    </row>
    <row r="49" spans="1:11" ht="28.5" customHeight="1" x14ac:dyDescent="0.4">
      <c r="A49" s="12"/>
      <c r="B49" s="17" t="s">
        <v>4</v>
      </c>
      <c r="C49" s="17" t="s">
        <v>75</v>
      </c>
      <c r="D49" s="12"/>
      <c r="E49" s="12"/>
      <c r="F49" s="12"/>
      <c r="G49" s="12"/>
      <c r="H49" s="12"/>
      <c r="I49" s="12"/>
    </row>
    <row r="50" spans="1:11" ht="28.5" customHeight="1" x14ac:dyDescent="0.4">
      <c r="A50" s="12"/>
      <c r="B50" s="19" t="s">
        <v>5</v>
      </c>
      <c r="C50" s="19" t="s">
        <v>13</v>
      </c>
      <c r="D50" s="19" t="s">
        <v>17</v>
      </c>
      <c r="E50" s="20" t="s">
        <v>19</v>
      </c>
      <c r="F50" s="19" t="s">
        <v>8</v>
      </c>
      <c r="G50" s="19" t="s">
        <v>18</v>
      </c>
      <c r="H50" s="12"/>
      <c r="I50" s="12"/>
      <c r="K50" s="19" t="s">
        <v>11</v>
      </c>
    </row>
    <row r="51" spans="1:11" ht="28.5" customHeight="1" x14ac:dyDescent="0.4">
      <c r="B51" s="42"/>
      <c r="C51" s="47">
        <v>36200</v>
      </c>
      <c r="D51" s="46" t="s">
        <v>172</v>
      </c>
      <c r="E51" s="43">
        <v>12</v>
      </c>
      <c r="F51" s="43">
        <v>0</v>
      </c>
      <c r="G51" s="47">
        <v>434400</v>
      </c>
      <c r="K51" s="51"/>
    </row>
    <row r="52" spans="1:11" ht="28.5" customHeight="1" x14ac:dyDescent="0.4">
      <c r="B52" s="42"/>
      <c r="C52" s="43"/>
      <c r="D52" s="43"/>
      <c r="E52" s="43"/>
      <c r="F52" s="43"/>
      <c r="G52" s="43"/>
      <c r="K52" s="52"/>
    </row>
    <row r="53" spans="1:11" ht="28.5" customHeight="1" x14ac:dyDescent="0.4">
      <c r="B53" s="42"/>
      <c r="C53" s="43"/>
      <c r="D53" s="43"/>
      <c r="E53" s="43"/>
      <c r="F53" s="43"/>
      <c r="G53" s="43"/>
    </row>
    <row r="54" spans="1:11" ht="28.5" customHeight="1" x14ac:dyDescent="0.4">
      <c r="B54" s="35"/>
    </row>
    <row r="55" spans="1:11" ht="28.5" customHeight="1" x14ac:dyDescent="0.4">
      <c r="A55" s="12"/>
      <c r="B55" s="17" t="s">
        <v>84</v>
      </c>
      <c r="C55" s="23" t="s">
        <v>54</v>
      </c>
      <c r="D55" s="12"/>
      <c r="E55" s="12"/>
      <c r="F55" s="12"/>
      <c r="G55" s="12"/>
      <c r="H55" s="12"/>
      <c r="I55" s="12"/>
    </row>
    <row r="56" spans="1:11" ht="28.5" customHeight="1" x14ac:dyDescent="0.4">
      <c r="A56" s="12"/>
      <c r="B56" s="18" t="s">
        <v>2</v>
      </c>
      <c r="C56" s="18" t="s">
        <v>16</v>
      </c>
      <c r="D56" s="12"/>
      <c r="E56" s="12"/>
      <c r="F56" s="12"/>
      <c r="G56" s="12"/>
      <c r="H56" s="12"/>
      <c r="I56" s="12"/>
    </row>
    <row r="57" spans="1:11" ht="28.5" customHeight="1" x14ac:dyDescent="0.4">
      <c r="A57" s="12"/>
      <c r="B57" s="17" t="s">
        <v>4</v>
      </c>
      <c r="C57" s="17" t="s">
        <v>126</v>
      </c>
      <c r="D57" s="12"/>
      <c r="E57" s="12"/>
      <c r="F57" s="12"/>
      <c r="G57" s="12"/>
      <c r="H57" s="12"/>
      <c r="I57" s="12"/>
    </row>
    <row r="58" spans="1:11" ht="28.5" customHeight="1" x14ac:dyDescent="0.4">
      <c r="A58" s="12"/>
      <c r="B58" s="19" t="s">
        <v>5</v>
      </c>
      <c r="C58" s="19" t="s">
        <v>13</v>
      </c>
      <c r="D58" s="19" t="s">
        <v>97</v>
      </c>
      <c r="E58" s="20" t="s">
        <v>8</v>
      </c>
      <c r="F58" s="19" t="s">
        <v>15</v>
      </c>
      <c r="G58" s="19" t="s">
        <v>18</v>
      </c>
      <c r="H58" s="12"/>
      <c r="I58" s="12"/>
      <c r="K58" s="19" t="s">
        <v>11</v>
      </c>
    </row>
    <row r="59" spans="1:11" ht="28.5" customHeight="1" x14ac:dyDescent="0.4">
      <c r="B59" s="42" t="s">
        <v>94</v>
      </c>
      <c r="C59" s="47">
        <v>434280</v>
      </c>
      <c r="D59" s="47">
        <v>434280</v>
      </c>
      <c r="E59" s="43">
        <v>0</v>
      </c>
      <c r="F59" s="47">
        <v>4280</v>
      </c>
      <c r="G59" s="47">
        <v>430000</v>
      </c>
      <c r="K59" s="51"/>
    </row>
    <row r="60" spans="1:11" ht="28.5" customHeight="1" x14ac:dyDescent="0.4">
      <c r="B60" s="42" t="s">
        <v>95</v>
      </c>
      <c r="C60" s="43">
        <v>115</v>
      </c>
      <c r="D60" s="43">
        <v>115</v>
      </c>
      <c r="E60" s="43">
        <v>0</v>
      </c>
      <c r="F60" s="43">
        <v>95</v>
      </c>
      <c r="G60" s="43">
        <v>20</v>
      </c>
      <c r="K60" s="52"/>
    </row>
    <row r="61" spans="1:11" ht="28.5" customHeight="1" x14ac:dyDescent="0.4">
      <c r="B61" s="42" t="s">
        <v>96</v>
      </c>
      <c r="C61" s="43">
        <v>5</v>
      </c>
      <c r="D61" s="43">
        <v>5</v>
      </c>
      <c r="E61" s="43">
        <v>0</v>
      </c>
      <c r="F61" s="43">
        <v>0</v>
      </c>
      <c r="G61" s="43">
        <v>5</v>
      </c>
    </row>
    <row r="62" spans="1:11" ht="28.5" customHeight="1" x14ac:dyDescent="0.4">
      <c r="B62" s="35"/>
    </row>
    <row r="63" spans="1:11" ht="28.5" customHeight="1" x14ac:dyDescent="0.4">
      <c r="A63" s="12"/>
      <c r="B63" s="17" t="s">
        <v>112</v>
      </c>
      <c r="C63" s="23" t="s">
        <v>55</v>
      </c>
      <c r="D63" s="12"/>
      <c r="E63" s="12"/>
      <c r="F63" s="12"/>
      <c r="G63" s="12"/>
      <c r="H63" s="12"/>
      <c r="I63" s="12"/>
    </row>
    <row r="64" spans="1:11" ht="28.5" customHeight="1" x14ac:dyDescent="0.4">
      <c r="A64" s="12"/>
      <c r="B64" s="18" t="s">
        <v>2</v>
      </c>
      <c r="C64" s="18" t="s">
        <v>16</v>
      </c>
      <c r="D64" s="12"/>
      <c r="E64" s="12"/>
      <c r="F64" s="12"/>
      <c r="G64" s="12"/>
      <c r="H64" s="12"/>
      <c r="I64" s="12"/>
    </row>
    <row r="65" spans="1:11" ht="28.5" customHeight="1" x14ac:dyDescent="0.4">
      <c r="A65" s="12"/>
      <c r="B65" s="17" t="s">
        <v>4</v>
      </c>
      <c r="C65" s="17" t="s">
        <v>126</v>
      </c>
      <c r="D65" s="12"/>
      <c r="E65" s="12"/>
      <c r="F65" s="12"/>
      <c r="G65" s="12"/>
      <c r="H65" s="12"/>
      <c r="I65" s="12"/>
    </row>
    <row r="66" spans="1:11" ht="28.5" customHeight="1" x14ac:dyDescent="0.4">
      <c r="A66" s="12"/>
      <c r="B66" s="19" t="s">
        <v>5</v>
      </c>
      <c r="C66" s="19" t="s">
        <v>13</v>
      </c>
      <c r="D66" s="19" t="s">
        <v>66</v>
      </c>
      <c r="E66" s="20" t="s">
        <v>8</v>
      </c>
      <c r="F66" s="19" t="s">
        <v>15</v>
      </c>
      <c r="G66" s="19" t="s">
        <v>67</v>
      </c>
      <c r="H66" s="30"/>
      <c r="I66" s="12"/>
      <c r="K66" s="19" t="s">
        <v>11</v>
      </c>
    </row>
    <row r="67" spans="1:11" ht="28.5" customHeight="1" x14ac:dyDescent="0.4">
      <c r="B67" s="42" t="s">
        <v>94</v>
      </c>
      <c r="C67" s="47">
        <v>430000</v>
      </c>
      <c r="D67" s="47">
        <v>430000</v>
      </c>
      <c r="E67" s="43">
        <v>0</v>
      </c>
      <c r="F67" s="43">
        <v>0</v>
      </c>
      <c r="G67" s="47">
        <v>430000</v>
      </c>
      <c r="K67" s="51"/>
    </row>
    <row r="68" spans="1:11" ht="28.5" customHeight="1" x14ac:dyDescent="0.4">
      <c r="B68" s="42" t="s">
        <v>95</v>
      </c>
      <c r="C68" s="43">
        <v>20</v>
      </c>
      <c r="D68" s="43">
        <v>20</v>
      </c>
      <c r="E68" s="43">
        <v>0</v>
      </c>
      <c r="F68" s="43">
        <v>0</v>
      </c>
      <c r="G68" s="43">
        <v>20</v>
      </c>
      <c r="K68" s="52"/>
    </row>
    <row r="69" spans="1:11" ht="28.5" customHeight="1" x14ac:dyDescent="0.4">
      <c r="B69" s="42" t="s">
        <v>96</v>
      </c>
      <c r="C69" s="43">
        <v>5</v>
      </c>
      <c r="D69" s="43">
        <v>5</v>
      </c>
      <c r="E69" s="43">
        <v>0</v>
      </c>
      <c r="F69" s="43">
        <v>0</v>
      </c>
      <c r="G69" s="43">
        <v>5</v>
      </c>
    </row>
    <row r="70" spans="1:11" ht="28.5" customHeight="1" thickBot="1" x14ac:dyDescent="0.45"/>
    <row r="71" spans="1:11" ht="28.5" customHeight="1" x14ac:dyDescent="0.4">
      <c r="B71" s="4" t="s">
        <v>20</v>
      </c>
      <c r="C71" s="5"/>
      <c r="D71" s="5"/>
      <c r="E71" s="5"/>
      <c r="F71" s="5"/>
      <c r="G71" s="5"/>
      <c r="H71" s="6"/>
    </row>
    <row r="72" spans="1:11" ht="28.5" customHeight="1" x14ac:dyDescent="0.4">
      <c r="B72" s="7"/>
      <c r="C72" t="s">
        <v>173</v>
      </c>
      <c r="D72" s="1"/>
      <c r="E72" s="1"/>
      <c r="F72" s="1"/>
      <c r="G72" s="1"/>
      <c r="H72" s="8"/>
    </row>
    <row r="73" spans="1:11" ht="28.5" customHeight="1" x14ac:dyDescent="0.4">
      <c r="B73" s="7"/>
      <c r="C73" t="s">
        <v>21</v>
      </c>
      <c r="D73" s="1"/>
      <c r="E73" s="1"/>
      <c r="F73" s="1"/>
      <c r="G73" s="1"/>
      <c r="H73" s="8"/>
    </row>
    <row r="74" spans="1:11" ht="28.5" customHeight="1" x14ac:dyDescent="0.4">
      <c r="B74" s="7"/>
      <c r="C74" s="1"/>
      <c r="D74" s="1"/>
      <c r="E74" s="1"/>
      <c r="F74" s="1"/>
      <c r="G74" s="1"/>
      <c r="H74" s="8"/>
    </row>
    <row r="75" spans="1:11" ht="28.5" customHeight="1" x14ac:dyDescent="0.4">
      <c r="B75" s="7"/>
      <c r="C75" s="1"/>
      <c r="D75" s="1"/>
      <c r="E75" s="1"/>
      <c r="F75" s="1"/>
      <c r="G75" s="1"/>
      <c r="H75" s="8"/>
    </row>
    <row r="76" spans="1:11" ht="28.5" customHeight="1" thickBot="1" x14ac:dyDescent="0.45">
      <c r="B76" s="9"/>
      <c r="C76" s="10"/>
      <c r="D76" s="10"/>
      <c r="E76" s="10"/>
      <c r="F76" s="10"/>
      <c r="G76" s="10"/>
      <c r="H76" s="11"/>
    </row>
    <row r="77" spans="1:11" ht="28.5" customHeight="1" x14ac:dyDescent="0.4"/>
    <row r="78" spans="1:11" ht="28.5" customHeight="1" x14ac:dyDescent="0.4"/>
    <row r="79" spans="1:11" ht="28.5" customHeight="1" x14ac:dyDescent="0.4"/>
    <row r="80" spans="1:11" ht="28.5" customHeight="1" x14ac:dyDescent="0.4"/>
    <row r="81" ht="28.5" customHeight="1" x14ac:dyDescent="0.4"/>
    <row r="82" ht="28.5" customHeight="1" x14ac:dyDescent="0.4"/>
    <row r="83" ht="28.5" customHeight="1" x14ac:dyDescent="0.4"/>
    <row r="84" ht="28.5" customHeight="1" x14ac:dyDescent="0.4"/>
    <row r="85" ht="28.5" customHeight="1" x14ac:dyDescent="0.4"/>
    <row r="86" ht="28.5" customHeight="1" x14ac:dyDescent="0.4"/>
    <row r="87" ht="28.5" customHeight="1" x14ac:dyDescent="0.4"/>
    <row r="88" ht="28.5" customHeight="1" x14ac:dyDescent="0.4"/>
    <row r="89" ht="28.5" customHeight="1" x14ac:dyDescent="0.4"/>
    <row r="90" ht="28.5" customHeight="1" x14ac:dyDescent="0.4"/>
    <row r="91" ht="28.5" customHeight="1" x14ac:dyDescent="0.4"/>
    <row r="92" ht="28.5" customHeight="1" x14ac:dyDescent="0.4"/>
    <row r="93" ht="28.5" customHeight="1" x14ac:dyDescent="0.4"/>
    <row r="94" ht="28.5" customHeight="1" x14ac:dyDescent="0.4"/>
    <row r="95" ht="28.5" customHeight="1" x14ac:dyDescent="0.4"/>
    <row r="96" ht="28.5" customHeight="1" x14ac:dyDescent="0.4"/>
    <row r="97" ht="28.5" customHeight="1" x14ac:dyDescent="0.4"/>
    <row r="98" ht="28.5" customHeight="1" x14ac:dyDescent="0.4"/>
    <row r="99" ht="28.5" customHeight="1" x14ac:dyDescent="0.4"/>
    <row r="100" ht="28.5" customHeight="1" x14ac:dyDescent="0.4"/>
    <row r="101" ht="28.5" customHeight="1" x14ac:dyDescent="0.4"/>
    <row r="102" ht="28.5" customHeight="1" x14ac:dyDescent="0.4"/>
    <row r="103" ht="28.5" customHeight="1" x14ac:dyDescent="0.4"/>
    <row r="104" ht="28.5" customHeight="1" x14ac:dyDescent="0.4"/>
    <row r="105" ht="28.5" customHeight="1" x14ac:dyDescent="0.4"/>
    <row r="106" ht="28.5" customHeight="1" x14ac:dyDescent="0.4"/>
    <row r="107" ht="28.5" customHeight="1" x14ac:dyDescent="0.4"/>
    <row r="108" ht="28.5" customHeight="1" x14ac:dyDescent="0.4"/>
    <row r="109" ht="28.5" customHeight="1" x14ac:dyDescent="0.4"/>
    <row r="110" ht="28.5" customHeight="1" x14ac:dyDescent="0.4"/>
    <row r="111" ht="28.5" customHeight="1" x14ac:dyDescent="0.4"/>
    <row r="112" ht="28.5" customHeight="1" x14ac:dyDescent="0.4"/>
    <row r="113" ht="28.5" customHeight="1" x14ac:dyDescent="0.4"/>
    <row r="114" ht="28.5" customHeight="1" x14ac:dyDescent="0.4"/>
    <row r="115" ht="28.5" customHeight="1" x14ac:dyDescent="0.4"/>
    <row r="116" ht="28.5" customHeight="1" x14ac:dyDescent="0.4"/>
    <row r="117" ht="28.5" customHeight="1" x14ac:dyDescent="0.4"/>
    <row r="118" ht="28.5" customHeight="1" x14ac:dyDescent="0.4"/>
    <row r="119" ht="28.5" customHeight="1" x14ac:dyDescent="0.4"/>
    <row r="120" ht="28.5" customHeight="1" x14ac:dyDescent="0.4"/>
    <row r="121" ht="28.5" customHeight="1" x14ac:dyDescent="0.4"/>
    <row r="122" ht="28.5" customHeight="1" x14ac:dyDescent="0.4"/>
    <row r="123" ht="28.5" customHeight="1" x14ac:dyDescent="0.4"/>
    <row r="124" ht="28.5" customHeight="1" x14ac:dyDescent="0.4"/>
    <row r="125" ht="28.5" customHeight="1" x14ac:dyDescent="0.4"/>
    <row r="126" ht="28.5" customHeight="1" x14ac:dyDescent="0.4"/>
    <row r="127" ht="28.5" customHeight="1" x14ac:dyDescent="0.4"/>
    <row r="128" ht="28.5" customHeight="1" x14ac:dyDescent="0.4"/>
    <row r="129" ht="28.5" customHeight="1" x14ac:dyDescent="0.4"/>
    <row r="130" ht="28.5" customHeight="1" x14ac:dyDescent="0.4"/>
    <row r="131" ht="28.5" customHeight="1" x14ac:dyDescent="0.4"/>
  </sheetData>
  <mergeCells count="8">
    <mergeCell ref="K59:K60"/>
    <mergeCell ref="K67:K68"/>
    <mergeCell ref="K11:K12"/>
    <mergeCell ref="K19:K20"/>
    <mergeCell ref="K27:K28"/>
    <mergeCell ref="K35:K36"/>
    <mergeCell ref="K43:K44"/>
    <mergeCell ref="K51:K52"/>
  </mergeCells>
  <phoneticPr fontId="2"/>
  <pageMargins left="0.7" right="0.7" top="0.75" bottom="0.75" header="0.3" footer="0.3"/>
  <pageSetup paperSize="9" scale="67" orientation="portrait" verticalDpi="0" r:id="rId1"/>
  <rowBreaks count="1" manualBreakCount="1">
    <brk id="37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INPUT</vt:lpstr>
      <vt:lpstr>Header</vt:lpstr>
      <vt:lpstr>Item</vt:lpstr>
      <vt:lpstr>Footer</vt:lpstr>
      <vt:lpstr>→</vt:lpstr>
      <vt:lpstr>0015F　福岡銀行</vt:lpstr>
      <vt:lpstr>ご長寿応援券</vt:lpstr>
      <vt:lpstr>IKK株主優待割引券</vt:lpstr>
      <vt:lpstr>IKK株主優待レストラン券</vt:lpstr>
      <vt:lpstr>西日本鉄道　株主優待回数券</vt:lpstr>
      <vt:lpstr>IKK株主優待割引券　改刷分</vt:lpstr>
      <vt:lpstr>宝くじチラシ</vt:lpstr>
      <vt:lpstr>バウ　抽選券</vt:lpstr>
      <vt:lpstr>バウ　抽選券7.20付</vt:lpstr>
      <vt:lpstr>'IKK株主優待割引券　改刷分'!Print_Area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mng-2</dc:creator>
  <cp:lastModifiedBy>mng-2</cp:lastModifiedBy>
  <cp:lastPrinted>2023-07-14T00:00:44Z</cp:lastPrinted>
  <dcterms:created xsi:type="dcterms:W3CDTF">2022-11-03T23:40:25Z</dcterms:created>
  <dcterms:modified xsi:type="dcterms:W3CDTF">2023-07-14T00:19:17Z</dcterms:modified>
</cp:coreProperties>
</file>