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F:\【Git】DocHub\20250415_広報やまが 配布\2025_05\"/>
    </mc:Choice>
  </mc:AlternateContent>
  <xr:revisionPtr revIDLastSave="0" documentId="13_ncr:1_{7D9D48B8-1A10-44B7-878A-0552DB3854B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生データ (2)" sheetId="2" r:id="rId1"/>
    <sheet name="生データ" sheetId="1" r:id="rId2"/>
    <sheet name="集計" sheetId="3" r:id="rId3"/>
    <sheet name="切り分け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/>
  <c r="H31" i="1"/>
  <c r="H47" i="1"/>
  <c r="H63" i="1"/>
  <c r="H79" i="1"/>
  <c r="H95" i="1"/>
  <c r="H111" i="1"/>
  <c r="H120" i="1"/>
  <c r="H122" i="1"/>
  <c r="H127" i="1"/>
  <c r="H128" i="1"/>
  <c r="H130" i="1"/>
  <c r="H136" i="1"/>
  <c r="H138" i="1"/>
  <c r="H143" i="1"/>
  <c r="H144" i="1"/>
  <c r="H146" i="1"/>
  <c r="H152" i="1"/>
  <c r="H154" i="1"/>
  <c r="H159" i="1"/>
  <c r="H160" i="1"/>
  <c r="H162" i="1"/>
  <c r="H167" i="1"/>
  <c r="H168" i="1"/>
  <c r="H175" i="1"/>
  <c r="H176" i="1"/>
  <c r="H183" i="1"/>
  <c r="H184" i="1"/>
  <c r="H191" i="1"/>
  <c r="H192" i="1"/>
  <c r="H199" i="1"/>
  <c r="H200" i="1"/>
  <c r="H207" i="1"/>
  <c r="H208" i="1"/>
  <c r="H210" i="1"/>
  <c r="H216" i="1"/>
  <c r="H218" i="1"/>
  <c r="H223" i="1"/>
  <c r="H224" i="1"/>
  <c r="H226" i="1"/>
  <c r="H232" i="1"/>
  <c r="H239" i="1"/>
  <c r="H240" i="1"/>
  <c r="H246" i="1"/>
  <c r="H247" i="1"/>
  <c r="H248" i="1"/>
  <c r="H255" i="1"/>
  <c r="H261" i="1"/>
  <c r="H262" i="1"/>
  <c r="H263" i="1"/>
  <c r="H264" i="1"/>
  <c r="E267" i="1"/>
  <c r="F265" i="1"/>
  <c r="H265" i="1" s="1"/>
  <c r="F260" i="2"/>
  <c r="F259" i="2"/>
  <c r="F258" i="2"/>
  <c r="F257" i="2"/>
  <c r="F256" i="2"/>
  <c r="G260" i="2" s="1"/>
  <c r="F255" i="2"/>
  <c r="C255" i="2"/>
  <c r="C256" i="2" s="1"/>
  <c r="C257" i="2" s="1"/>
  <c r="C258" i="2" s="1"/>
  <c r="C259" i="2" s="1"/>
  <c r="C260" i="2" s="1"/>
  <c r="F254" i="2"/>
  <c r="C254" i="2"/>
  <c r="F253" i="2"/>
  <c r="F252" i="2"/>
  <c r="F251" i="2"/>
  <c r="F250" i="2"/>
  <c r="F249" i="2"/>
  <c r="G252" i="2" s="1"/>
  <c r="F248" i="2"/>
  <c r="F247" i="2"/>
  <c r="F246" i="2"/>
  <c r="F245" i="2"/>
  <c r="C245" i="2"/>
  <c r="C246" i="2" s="1"/>
  <c r="C247" i="2" s="1"/>
  <c r="C248" i="2" s="1"/>
  <c r="C249" i="2" s="1"/>
  <c r="C250" i="2" s="1"/>
  <c r="C251" i="2" s="1"/>
  <c r="C252" i="2" s="1"/>
  <c r="F244" i="2"/>
  <c r="F243" i="2"/>
  <c r="F242" i="2"/>
  <c r="F241" i="2"/>
  <c r="F240" i="2"/>
  <c r="F239" i="2"/>
  <c r="F238" i="2"/>
  <c r="F237" i="2"/>
  <c r="F236" i="2"/>
  <c r="F235" i="2"/>
  <c r="F234" i="2"/>
  <c r="F233" i="2"/>
  <c r="C233" i="2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F232" i="2"/>
  <c r="G243" i="2" s="1"/>
  <c r="F231" i="2"/>
  <c r="F230" i="2"/>
  <c r="F229" i="2"/>
  <c r="F228" i="2"/>
  <c r="F227" i="2"/>
  <c r="F226" i="2"/>
  <c r="F225" i="2"/>
  <c r="F224" i="2"/>
  <c r="F223" i="2"/>
  <c r="G231" i="2" s="1"/>
  <c r="F222" i="2"/>
  <c r="F221" i="2"/>
  <c r="F220" i="2"/>
  <c r="F219" i="2"/>
  <c r="F218" i="2"/>
  <c r="G222" i="2" s="1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G216" i="2" s="1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G203" i="2" s="1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G189" i="2" s="1"/>
  <c r="F174" i="2"/>
  <c r="F173" i="2"/>
  <c r="F172" i="2"/>
  <c r="F171" i="2"/>
  <c r="F170" i="2"/>
  <c r="F169" i="2"/>
  <c r="F168" i="2"/>
  <c r="F167" i="2"/>
  <c r="F166" i="2"/>
  <c r="G174" i="2" s="1"/>
  <c r="F165" i="2"/>
  <c r="F164" i="2"/>
  <c r="F163" i="2"/>
  <c r="F162" i="2"/>
  <c r="F161" i="2"/>
  <c r="F160" i="2"/>
  <c r="F159" i="2"/>
  <c r="G165" i="2" s="1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G153" i="2" s="1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G131" i="2" s="1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B101" i="2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F100" i="2"/>
  <c r="G117" i="2" s="1"/>
  <c r="F99" i="2"/>
  <c r="F98" i="2"/>
  <c r="F97" i="2"/>
  <c r="F96" i="2"/>
  <c r="F95" i="2"/>
  <c r="F94" i="2"/>
  <c r="F93" i="2"/>
  <c r="F92" i="2"/>
  <c r="B92" i="2"/>
  <c r="B93" i="2" s="1"/>
  <c r="B94" i="2" s="1"/>
  <c r="B95" i="2" s="1"/>
  <c r="B96" i="2" s="1"/>
  <c r="B97" i="2" s="1"/>
  <c r="B98" i="2" s="1"/>
  <c r="B99" i="2" s="1"/>
  <c r="F91" i="2"/>
  <c r="B91" i="2"/>
  <c r="F90" i="2"/>
  <c r="G99" i="2" s="1"/>
  <c r="B90" i="2"/>
  <c r="F89" i="2"/>
  <c r="F88" i="2"/>
  <c r="F87" i="2"/>
  <c r="F86" i="2"/>
  <c r="F85" i="2"/>
  <c r="F84" i="2"/>
  <c r="F83" i="2"/>
  <c r="F82" i="2"/>
  <c r="F81" i="2"/>
  <c r="G88" i="2" s="1"/>
  <c r="F80" i="2"/>
  <c r="F79" i="2"/>
  <c r="B79" i="2"/>
  <c r="B80" i="2" s="1"/>
  <c r="B81" i="2" s="1"/>
  <c r="B82" i="2" s="1"/>
  <c r="B83" i="2" s="1"/>
  <c r="B84" i="2" s="1"/>
  <c r="B85" i="2" s="1"/>
  <c r="B86" i="2" s="1"/>
  <c r="B87" i="2" s="1"/>
  <c r="B88" i="2" s="1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B66" i="2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F65" i="2"/>
  <c r="G77" i="2" s="1"/>
  <c r="B65" i="2"/>
  <c r="F64" i="2"/>
  <c r="F63" i="2"/>
  <c r="F62" i="2"/>
  <c r="F61" i="2"/>
  <c r="F60" i="2"/>
  <c r="F59" i="2"/>
  <c r="F58" i="2"/>
  <c r="G63" i="2" s="1"/>
  <c r="F57" i="2"/>
  <c r="F56" i="2"/>
  <c r="F55" i="2"/>
  <c r="B55" i="2"/>
  <c r="B56" i="2" s="1"/>
  <c r="B57" i="2" s="1"/>
  <c r="B58" i="2" s="1"/>
  <c r="B59" i="2" s="1"/>
  <c r="B60" i="2" s="1"/>
  <c r="B61" i="2" s="1"/>
  <c r="B62" i="2" s="1"/>
  <c r="B63" i="2" s="1"/>
  <c r="F54" i="2"/>
  <c r="F53" i="2"/>
  <c r="F52" i="2"/>
  <c r="F51" i="2"/>
  <c r="F50" i="2"/>
  <c r="F49" i="2"/>
  <c r="F48" i="2"/>
  <c r="F47" i="2"/>
  <c r="F46" i="2"/>
  <c r="F45" i="2"/>
  <c r="F44" i="2"/>
  <c r="B44" i="2"/>
  <c r="B45" i="2" s="1"/>
  <c r="B46" i="2" s="1"/>
  <c r="B47" i="2" s="1"/>
  <c r="B48" i="2" s="1"/>
  <c r="B49" i="2" s="1"/>
  <c r="B50" i="2" s="1"/>
  <c r="B51" i="2" s="1"/>
  <c r="B52" i="2" s="1"/>
  <c r="B53" i="2" s="1"/>
  <c r="F43" i="2"/>
  <c r="B43" i="2"/>
  <c r="F42" i="2"/>
  <c r="G53" i="2" s="1"/>
  <c r="F41" i="2"/>
  <c r="F40" i="2"/>
  <c r="F39" i="2"/>
  <c r="F38" i="2"/>
  <c r="F37" i="2"/>
  <c r="F36" i="2"/>
  <c r="F35" i="2"/>
  <c r="F34" i="2"/>
  <c r="B34" i="2"/>
  <c r="B35" i="2" s="1"/>
  <c r="B36" i="2" s="1"/>
  <c r="B37" i="2" s="1"/>
  <c r="B38" i="2" s="1"/>
  <c r="B39" i="2" s="1"/>
  <c r="B40" i="2" s="1"/>
  <c r="B41" i="2" s="1"/>
  <c r="F33" i="2"/>
  <c r="G41" i="2" s="1"/>
  <c r="B33" i="2"/>
  <c r="F32" i="2"/>
  <c r="B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F2" i="2"/>
  <c r="G30" i="2" s="1"/>
  <c r="F260" i="1"/>
  <c r="H260" i="1" s="1"/>
  <c r="F259" i="1"/>
  <c r="H259" i="1" s="1"/>
  <c r="F258" i="1"/>
  <c r="H258" i="1" s="1"/>
  <c r="F257" i="1"/>
  <c r="H257" i="1" s="1"/>
  <c r="F256" i="1"/>
  <c r="H256" i="1" s="1"/>
  <c r="F255" i="1"/>
  <c r="F254" i="1"/>
  <c r="H254" i="1" s="1"/>
  <c r="C254" i="1"/>
  <c r="C255" i="1" s="1"/>
  <c r="C256" i="1" s="1"/>
  <c r="C257" i="1" s="1"/>
  <c r="C258" i="1" s="1"/>
  <c r="C259" i="1" s="1"/>
  <c r="C260" i="1" s="1"/>
  <c r="F253" i="1"/>
  <c r="H253" i="1" s="1"/>
  <c r="F252" i="1"/>
  <c r="H252" i="1" s="1"/>
  <c r="F251" i="1"/>
  <c r="H251" i="1" s="1"/>
  <c r="F250" i="1"/>
  <c r="H250" i="1" s="1"/>
  <c r="F249" i="1"/>
  <c r="H249" i="1" s="1"/>
  <c r="F248" i="1"/>
  <c r="F247" i="1"/>
  <c r="F246" i="1"/>
  <c r="F245" i="1"/>
  <c r="H245" i="1" s="1"/>
  <c r="C245" i="1"/>
  <c r="C246" i="1" s="1"/>
  <c r="C247" i="1" s="1"/>
  <c r="C248" i="1" s="1"/>
  <c r="C249" i="1" s="1"/>
  <c r="C250" i="1" s="1"/>
  <c r="C251" i="1" s="1"/>
  <c r="C252" i="1" s="1"/>
  <c r="F244" i="1"/>
  <c r="F243" i="1"/>
  <c r="H243" i="1" s="1"/>
  <c r="F242" i="1"/>
  <c r="H242" i="1" s="1"/>
  <c r="F241" i="1"/>
  <c r="H241" i="1" s="1"/>
  <c r="F240" i="1"/>
  <c r="F239" i="1"/>
  <c r="F238" i="1"/>
  <c r="H238" i="1" s="1"/>
  <c r="F237" i="1"/>
  <c r="H237" i="1" s="1"/>
  <c r="F236" i="1"/>
  <c r="H236" i="1" s="1"/>
  <c r="F235" i="1"/>
  <c r="H235" i="1" s="1"/>
  <c r="F234" i="1"/>
  <c r="H234" i="1" s="1"/>
  <c r="F233" i="1"/>
  <c r="H233" i="1" s="1"/>
  <c r="C233" i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F232" i="1"/>
  <c r="F231" i="1"/>
  <c r="H231" i="1" s="1"/>
  <c r="F230" i="1"/>
  <c r="H230" i="1" s="1"/>
  <c r="F229" i="1"/>
  <c r="H229" i="1" s="1"/>
  <c r="F228" i="1"/>
  <c r="H228" i="1" s="1"/>
  <c r="F227" i="1"/>
  <c r="H227" i="1" s="1"/>
  <c r="F226" i="1"/>
  <c r="F225" i="1"/>
  <c r="H225" i="1" s="1"/>
  <c r="F224" i="1"/>
  <c r="F223" i="1"/>
  <c r="F222" i="1"/>
  <c r="H222" i="1" s="1"/>
  <c r="F221" i="1"/>
  <c r="H221" i="1" s="1"/>
  <c r="F220" i="1"/>
  <c r="H220" i="1" s="1"/>
  <c r="F219" i="1"/>
  <c r="H219" i="1" s="1"/>
  <c r="F218" i="1"/>
  <c r="F217" i="1"/>
  <c r="H217" i="1" s="1"/>
  <c r="F216" i="1"/>
  <c r="F215" i="1"/>
  <c r="H215" i="1" s="1"/>
  <c r="F214" i="1"/>
  <c r="H214" i="1" s="1"/>
  <c r="F213" i="1"/>
  <c r="H213" i="1" s="1"/>
  <c r="F212" i="1"/>
  <c r="H212" i="1" s="1"/>
  <c r="F211" i="1"/>
  <c r="H211" i="1" s="1"/>
  <c r="F210" i="1"/>
  <c r="F209" i="1"/>
  <c r="H209" i="1" s="1"/>
  <c r="F208" i="1"/>
  <c r="F207" i="1"/>
  <c r="F206" i="1"/>
  <c r="H206" i="1" s="1"/>
  <c r="F205" i="1"/>
  <c r="H205" i="1" s="1"/>
  <c r="F204" i="1"/>
  <c r="H204" i="1" s="1"/>
  <c r="F166" i="1"/>
  <c r="H166" i="1" s="1"/>
  <c r="F167" i="1"/>
  <c r="F168" i="1"/>
  <c r="F169" i="1"/>
  <c r="H169" i="1" s="1"/>
  <c r="F170" i="1"/>
  <c r="H170" i="1" s="1"/>
  <c r="F171" i="1"/>
  <c r="H171" i="1" s="1"/>
  <c r="F172" i="1"/>
  <c r="H172" i="1" s="1"/>
  <c r="F173" i="1"/>
  <c r="H173" i="1" s="1"/>
  <c r="F174" i="1"/>
  <c r="G174" i="1" s="1"/>
  <c r="F175" i="1"/>
  <c r="F176" i="1"/>
  <c r="F177" i="1"/>
  <c r="H177" i="1" s="1"/>
  <c r="F178" i="1"/>
  <c r="H178" i="1" s="1"/>
  <c r="F179" i="1"/>
  <c r="H179" i="1" s="1"/>
  <c r="F180" i="1"/>
  <c r="H180" i="1" s="1"/>
  <c r="F181" i="1"/>
  <c r="H181" i="1" s="1"/>
  <c r="F182" i="1"/>
  <c r="H182" i="1" s="1"/>
  <c r="F183" i="1"/>
  <c r="F184" i="1"/>
  <c r="F185" i="1"/>
  <c r="H185" i="1" s="1"/>
  <c r="F186" i="1"/>
  <c r="H186" i="1" s="1"/>
  <c r="F187" i="1"/>
  <c r="H187" i="1" s="1"/>
  <c r="F188" i="1"/>
  <c r="H188" i="1" s="1"/>
  <c r="F189" i="1"/>
  <c r="H189" i="1" s="1"/>
  <c r="F190" i="1"/>
  <c r="H190" i="1" s="1"/>
  <c r="F191" i="1"/>
  <c r="F192" i="1"/>
  <c r="F193" i="1"/>
  <c r="H193" i="1" s="1"/>
  <c r="F194" i="1"/>
  <c r="H194" i="1" s="1"/>
  <c r="F195" i="1"/>
  <c r="H195" i="1" s="1"/>
  <c r="F196" i="1"/>
  <c r="H196" i="1" s="1"/>
  <c r="F197" i="1"/>
  <c r="H197" i="1" s="1"/>
  <c r="F198" i="1"/>
  <c r="H198" i="1" s="1"/>
  <c r="F199" i="1"/>
  <c r="F200" i="1"/>
  <c r="F201" i="1"/>
  <c r="H201" i="1" s="1"/>
  <c r="F202" i="1"/>
  <c r="H202" i="1" s="1"/>
  <c r="F203" i="1"/>
  <c r="H203" i="1" s="1"/>
  <c r="F165" i="1"/>
  <c r="H165" i="1" s="1"/>
  <c r="F164" i="1"/>
  <c r="H164" i="1" s="1"/>
  <c r="F163" i="1"/>
  <c r="H163" i="1" s="1"/>
  <c r="F162" i="1"/>
  <c r="F161" i="1"/>
  <c r="H161" i="1" s="1"/>
  <c r="F160" i="1"/>
  <c r="F159" i="1"/>
  <c r="F158" i="1"/>
  <c r="H158" i="1" s="1"/>
  <c r="F157" i="1"/>
  <c r="H157" i="1" s="1"/>
  <c r="F156" i="1"/>
  <c r="H156" i="1" s="1"/>
  <c r="F155" i="1"/>
  <c r="H155" i="1" s="1"/>
  <c r="F154" i="1"/>
  <c r="F153" i="1"/>
  <c r="H153" i="1" s="1"/>
  <c r="F152" i="1"/>
  <c r="F151" i="1"/>
  <c r="H151" i="1" s="1"/>
  <c r="F150" i="1"/>
  <c r="H150" i="1" s="1"/>
  <c r="F149" i="1"/>
  <c r="H149" i="1" s="1"/>
  <c r="F148" i="1"/>
  <c r="H148" i="1" s="1"/>
  <c r="F147" i="1"/>
  <c r="H147" i="1" s="1"/>
  <c r="F146" i="1"/>
  <c r="F145" i="1"/>
  <c r="H145" i="1" s="1"/>
  <c r="F144" i="1"/>
  <c r="F143" i="1"/>
  <c r="F142" i="1"/>
  <c r="H142" i="1" s="1"/>
  <c r="F141" i="1"/>
  <c r="H141" i="1" s="1"/>
  <c r="F140" i="1"/>
  <c r="H140" i="1" s="1"/>
  <c r="F139" i="1"/>
  <c r="H139" i="1" s="1"/>
  <c r="F138" i="1"/>
  <c r="F137" i="1"/>
  <c r="H137" i="1" s="1"/>
  <c r="F136" i="1"/>
  <c r="F135" i="1"/>
  <c r="H135" i="1" s="1"/>
  <c r="F134" i="1"/>
  <c r="H134" i="1" s="1"/>
  <c r="F133" i="1"/>
  <c r="H133" i="1" s="1"/>
  <c r="F132" i="1"/>
  <c r="H132" i="1" s="1"/>
  <c r="F131" i="1"/>
  <c r="H131" i="1" s="1"/>
  <c r="F130" i="1"/>
  <c r="F129" i="1"/>
  <c r="H129" i="1" s="1"/>
  <c r="F128" i="1"/>
  <c r="F127" i="1"/>
  <c r="F126" i="1"/>
  <c r="H126" i="1" s="1"/>
  <c r="F125" i="1"/>
  <c r="H125" i="1" s="1"/>
  <c r="F124" i="1"/>
  <c r="H124" i="1" s="1"/>
  <c r="F123" i="1"/>
  <c r="H123" i="1" s="1"/>
  <c r="F122" i="1"/>
  <c r="F121" i="1"/>
  <c r="H121" i="1" s="1"/>
  <c r="F120" i="1"/>
  <c r="F119" i="1"/>
  <c r="H119" i="1" s="1"/>
  <c r="F118" i="1"/>
  <c r="H118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2" i="1"/>
  <c r="B33" i="1" s="1"/>
  <c r="B34" i="1" s="1"/>
  <c r="B35" i="1" s="1"/>
  <c r="B36" i="1" s="1"/>
  <c r="B37" i="1" s="1"/>
  <c r="B38" i="1" s="1"/>
  <c r="B39" i="1" s="1"/>
  <c r="B40" i="1" s="1"/>
  <c r="B41" i="1" s="1"/>
  <c r="B43" i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5" i="1"/>
  <c r="B56" i="1"/>
  <c r="B57" i="1" s="1"/>
  <c r="B58" i="1" s="1"/>
  <c r="B59" i="1" s="1"/>
  <c r="B60" i="1" s="1"/>
  <c r="B61" i="1" s="1"/>
  <c r="B62" i="1" s="1"/>
  <c r="B63" i="1" s="1"/>
  <c r="B65" i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9" i="1"/>
  <c r="B80" i="1" s="1"/>
  <c r="B81" i="1" s="1"/>
  <c r="B82" i="1" s="1"/>
  <c r="B83" i="1" s="1"/>
  <c r="B84" i="1" s="1"/>
  <c r="B85" i="1" s="1"/>
  <c r="B86" i="1" s="1"/>
  <c r="B87" i="1" s="1"/>
  <c r="B88" i="1" s="1"/>
  <c r="B90" i="1"/>
  <c r="B91" i="1" s="1"/>
  <c r="B92" i="1" s="1"/>
  <c r="B93" i="1" s="1"/>
  <c r="B94" i="1" s="1"/>
  <c r="B95" i="1" s="1"/>
  <c r="B96" i="1" s="1"/>
  <c r="B97" i="1" s="1"/>
  <c r="B98" i="1" s="1"/>
  <c r="B99" i="1" s="1"/>
  <c r="B101" i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F117" i="1"/>
  <c r="H117" i="1" s="1"/>
  <c r="F116" i="1"/>
  <c r="H116" i="1" s="1"/>
  <c r="F115" i="1"/>
  <c r="H115" i="1" s="1"/>
  <c r="F114" i="1"/>
  <c r="H114" i="1" s="1"/>
  <c r="F113" i="1"/>
  <c r="H113" i="1" s="1"/>
  <c r="F112" i="1"/>
  <c r="H112" i="1" s="1"/>
  <c r="F111" i="1"/>
  <c r="F110" i="1"/>
  <c r="H110" i="1" s="1"/>
  <c r="F109" i="1"/>
  <c r="H109" i="1" s="1"/>
  <c r="F108" i="1"/>
  <c r="H108" i="1" s="1"/>
  <c r="F107" i="1"/>
  <c r="H107" i="1" s="1"/>
  <c r="F106" i="1"/>
  <c r="H106" i="1" s="1"/>
  <c r="F105" i="1"/>
  <c r="H105" i="1" s="1"/>
  <c r="F104" i="1"/>
  <c r="H104" i="1" s="1"/>
  <c r="F103" i="1"/>
  <c r="H103" i="1" s="1"/>
  <c r="F102" i="1"/>
  <c r="H102" i="1" s="1"/>
  <c r="F101" i="1"/>
  <c r="H101" i="1" s="1"/>
  <c r="F100" i="1"/>
  <c r="H100" i="1" s="1"/>
  <c r="F99" i="1"/>
  <c r="H99" i="1" s="1"/>
  <c r="F98" i="1"/>
  <c r="H98" i="1" s="1"/>
  <c r="F97" i="1"/>
  <c r="H97" i="1" s="1"/>
  <c r="F96" i="1"/>
  <c r="H96" i="1" s="1"/>
  <c r="F95" i="1"/>
  <c r="F94" i="1"/>
  <c r="H94" i="1" s="1"/>
  <c r="F93" i="1"/>
  <c r="H93" i="1" s="1"/>
  <c r="F92" i="1"/>
  <c r="H92" i="1" s="1"/>
  <c r="F91" i="1"/>
  <c r="H91" i="1" s="1"/>
  <c r="F90" i="1"/>
  <c r="H90" i="1" s="1"/>
  <c r="F89" i="1"/>
  <c r="H89" i="1" s="1"/>
  <c r="F88" i="1"/>
  <c r="H88" i="1" s="1"/>
  <c r="F87" i="1"/>
  <c r="H87" i="1" s="1"/>
  <c r="F86" i="1"/>
  <c r="H86" i="1" s="1"/>
  <c r="F85" i="1"/>
  <c r="H85" i="1" s="1"/>
  <c r="F84" i="1"/>
  <c r="H84" i="1" s="1"/>
  <c r="F83" i="1"/>
  <c r="H83" i="1" s="1"/>
  <c r="F82" i="1"/>
  <c r="H82" i="1" s="1"/>
  <c r="F81" i="1"/>
  <c r="H81" i="1" s="1"/>
  <c r="F80" i="1"/>
  <c r="H80" i="1" s="1"/>
  <c r="F79" i="1"/>
  <c r="F78" i="1"/>
  <c r="F77" i="1"/>
  <c r="H77" i="1" s="1"/>
  <c r="F76" i="1"/>
  <c r="H76" i="1" s="1"/>
  <c r="F75" i="1"/>
  <c r="H75" i="1" s="1"/>
  <c r="F74" i="1"/>
  <c r="H74" i="1" s="1"/>
  <c r="F73" i="1"/>
  <c r="H73" i="1" s="1"/>
  <c r="F72" i="1"/>
  <c r="H72" i="1" s="1"/>
  <c r="F71" i="1"/>
  <c r="H71" i="1" s="1"/>
  <c r="F70" i="1"/>
  <c r="H70" i="1" s="1"/>
  <c r="F69" i="1"/>
  <c r="H69" i="1" s="1"/>
  <c r="F68" i="1"/>
  <c r="H68" i="1" s="1"/>
  <c r="F67" i="1"/>
  <c r="H67" i="1" s="1"/>
  <c r="F66" i="1"/>
  <c r="H66" i="1" s="1"/>
  <c r="F65" i="1"/>
  <c r="H65" i="1" s="1"/>
  <c r="F64" i="1"/>
  <c r="H64" i="1" s="1"/>
  <c r="F63" i="1"/>
  <c r="F62" i="1"/>
  <c r="H62" i="1" s="1"/>
  <c r="F61" i="1"/>
  <c r="H61" i="1" s="1"/>
  <c r="F60" i="1"/>
  <c r="H60" i="1" s="1"/>
  <c r="F59" i="1"/>
  <c r="H59" i="1" s="1"/>
  <c r="F58" i="1"/>
  <c r="H58" i="1" s="1"/>
  <c r="F57" i="1"/>
  <c r="H57" i="1" s="1"/>
  <c r="F56" i="1"/>
  <c r="H56" i="1" s="1"/>
  <c r="F55" i="1"/>
  <c r="H55" i="1" s="1"/>
  <c r="F54" i="1"/>
  <c r="H54" i="1" s="1"/>
  <c r="F53" i="1"/>
  <c r="H53" i="1" s="1"/>
  <c r="F52" i="1"/>
  <c r="H52" i="1" s="1"/>
  <c r="F51" i="1"/>
  <c r="H51" i="1" s="1"/>
  <c r="F50" i="1"/>
  <c r="H50" i="1" s="1"/>
  <c r="F49" i="1"/>
  <c r="H49" i="1" s="1"/>
  <c r="F48" i="1"/>
  <c r="H48" i="1" s="1"/>
  <c r="F47" i="1"/>
  <c r="F46" i="1"/>
  <c r="H46" i="1" s="1"/>
  <c r="F45" i="1"/>
  <c r="H45" i="1" s="1"/>
  <c r="F44" i="1"/>
  <c r="H44" i="1" s="1"/>
  <c r="F43" i="1"/>
  <c r="H43" i="1" s="1"/>
  <c r="F42" i="1"/>
  <c r="H42" i="1" s="1"/>
  <c r="F41" i="1"/>
  <c r="H41" i="1" s="1"/>
  <c r="F40" i="1"/>
  <c r="H40" i="1" s="1"/>
  <c r="F39" i="1"/>
  <c r="H39" i="1" s="1"/>
  <c r="F38" i="1"/>
  <c r="H38" i="1" s="1"/>
  <c r="F37" i="1"/>
  <c r="H37" i="1" s="1"/>
  <c r="F36" i="1"/>
  <c r="H36" i="1" s="1"/>
  <c r="F35" i="1"/>
  <c r="H35" i="1" s="1"/>
  <c r="F34" i="1"/>
  <c r="H34" i="1" s="1"/>
  <c r="F33" i="1"/>
  <c r="H33" i="1" s="1"/>
  <c r="F32" i="1"/>
  <c r="H32" i="1" s="1"/>
  <c r="F31" i="1"/>
  <c r="F30" i="1"/>
  <c r="H30" i="1" s="1"/>
  <c r="F29" i="1"/>
  <c r="H29" i="1" s="1"/>
  <c r="F28" i="1"/>
  <c r="H28" i="1" s="1"/>
  <c r="F27" i="1"/>
  <c r="H27" i="1" s="1"/>
  <c r="F26" i="1"/>
  <c r="H26" i="1" s="1"/>
  <c r="F25" i="1"/>
  <c r="H25" i="1" s="1"/>
  <c r="F24" i="1"/>
  <c r="H24" i="1" s="1"/>
  <c r="F23" i="1"/>
  <c r="H23" i="1" s="1"/>
  <c r="F22" i="1"/>
  <c r="H22" i="1" s="1"/>
  <c r="F21" i="1"/>
  <c r="H21" i="1" s="1"/>
  <c r="F20" i="1"/>
  <c r="H20" i="1" s="1"/>
  <c r="F19" i="1"/>
  <c r="H19" i="1" s="1"/>
  <c r="F18" i="1"/>
  <c r="H18" i="1" s="1"/>
  <c r="F17" i="1"/>
  <c r="H17" i="1" s="1"/>
  <c r="F16" i="1"/>
  <c r="H16" i="1" s="1"/>
  <c r="F15" i="1"/>
  <c r="F14" i="1"/>
  <c r="H14" i="1" s="1"/>
  <c r="F13" i="1"/>
  <c r="H13" i="1" s="1"/>
  <c r="F12" i="1"/>
  <c r="H12" i="1" s="1"/>
  <c r="F11" i="1"/>
  <c r="H11" i="1" s="1"/>
  <c r="F10" i="1"/>
  <c r="H10" i="1" s="1"/>
  <c r="F9" i="1"/>
  <c r="H9" i="1" s="1"/>
  <c r="F8" i="1"/>
  <c r="H8" i="1" s="1"/>
  <c r="F7" i="1"/>
  <c r="H7" i="1" s="1"/>
  <c r="F6" i="1"/>
  <c r="H6" i="1" s="1"/>
  <c r="F5" i="1"/>
  <c r="H5" i="1" s="1"/>
  <c r="F4" i="1"/>
  <c r="H4" i="1" s="1"/>
  <c r="F3" i="1"/>
  <c r="H3" i="1" s="1"/>
  <c r="F2" i="1"/>
  <c r="H2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G88" i="1" l="1"/>
  <c r="G41" i="1"/>
  <c r="H174" i="1"/>
  <c r="H78" i="1"/>
  <c r="G260" i="1"/>
  <c r="F267" i="1"/>
  <c r="G252" i="1"/>
  <c r="H244" i="1"/>
  <c r="G189" i="1"/>
  <c r="G203" i="1"/>
  <c r="G117" i="1"/>
  <c r="G153" i="1"/>
  <c r="G77" i="1"/>
  <c r="G63" i="1"/>
  <c r="G165" i="1"/>
  <c r="G222" i="1"/>
  <c r="G131" i="1"/>
  <c r="G243" i="1"/>
  <c r="G30" i="1"/>
  <c r="G53" i="1"/>
  <c r="G99" i="1"/>
  <c r="G216" i="1"/>
  <c r="G231" i="1"/>
</calcChain>
</file>

<file path=xl/sharedStrings.xml><?xml version="1.0" encoding="utf-8"?>
<sst xmlns="http://schemas.openxmlformats.org/spreadsheetml/2006/main" count="917" uniqueCount="336">
  <si>
    <t>地域名</t>
    <rPh sb="0" eb="3">
      <t>チイキメイ</t>
    </rPh>
    <phoneticPr fontId="1"/>
  </si>
  <si>
    <t>主地区名</t>
    <rPh sb="0" eb="1">
      <t>シュ</t>
    </rPh>
    <rPh sb="1" eb="4">
      <t>チクメイ</t>
    </rPh>
    <phoneticPr fontId="1"/>
  </si>
  <si>
    <t>区番号</t>
    <rPh sb="0" eb="1">
      <t>ク</t>
    </rPh>
    <rPh sb="1" eb="3">
      <t>バンゴウ</t>
    </rPh>
    <phoneticPr fontId="1"/>
  </si>
  <si>
    <t>行政区名</t>
    <rPh sb="0" eb="2">
      <t>ギョウセイ</t>
    </rPh>
    <rPh sb="3" eb="4">
      <t>メイ</t>
    </rPh>
    <phoneticPr fontId="1"/>
  </si>
  <si>
    <t>配布戸数</t>
  </si>
  <si>
    <t>山鹿地域</t>
    <phoneticPr fontId="1"/>
  </si>
  <si>
    <t>1-1</t>
    <phoneticPr fontId="3"/>
  </si>
  <si>
    <t>宗方南1-1</t>
    <phoneticPr fontId="3"/>
  </si>
  <si>
    <t>1-2</t>
    <phoneticPr fontId="3"/>
  </si>
  <si>
    <t>宗方北1-2</t>
    <phoneticPr fontId="3"/>
  </si>
  <si>
    <t>山鹿下町</t>
    <rPh sb="0" eb="2">
      <t>ヤマガ</t>
    </rPh>
    <phoneticPr fontId="3"/>
  </si>
  <si>
    <t>山鹿中町</t>
    <rPh sb="0" eb="2">
      <t>ヤマガ</t>
    </rPh>
    <phoneticPr fontId="3"/>
  </si>
  <si>
    <t>上市町</t>
    <phoneticPr fontId="3"/>
  </si>
  <si>
    <t>南本町</t>
    <phoneticPr fontId="3"/>
  </si>
  <si>
    <t>栄　町</t>
    <phoneticPr fontId="3"/>
  </si>
  <si>
    <t>温泉通</t>
    <phoneticPr fontId="3"/>
  </si>
  <si>
    <t>花見坂</t>
    <phoneticPr fontId="3"/>
  </si>
  <si>
    <t>大宮通</t>
    <phoneticPr fontId="3"/>
  </si>
  <si>
    <t>上広町</t>
    <phoneticPr fontId="3"/>
  </si>
  <si>
    <t>九日町</t>
    <phoneticPr fontId="3"/>
  </si>
  <si>
    <t>日吉町</t>
    <phoneticPr fontId="3"/>
  </si>
  <si>
    <t>堀明町</t>
    <phoneticPr fontId="3"/>
  </si>
  <si>
    <t>上　町</t>
    <phoneticPr fontId="3"/>
  </si>
  <si>
    <t>北　町</t>
    <phoneticPr fontId="3"/>
  </si>
  <si>
    <t>松坂町</t>
    <phoneticPr fontId="3"/>
  </si>
  <si>
    <t>西上町</t>
    <phoneticPr fontId="3"/>
  </si>
  <si>
    <t>東通町</t>
    <phoneticPr fontId="3"/>
  </si>
  <si>
    <t>天神町</t>
    <phoneticPr fontId="3"/>
  </si>
  <si>
    <t>明治町</t>
    <phoneticPr fontId="3"/>
  </si>
  <si>
    <t>栗　林</t>
    <phoneticPr fontId="3"/>
  </si>
  <si>
    <t>桜町中</t>
    <phoneticPr fontId="3"/>
  </si>
  <si>
    <t>桜町西</t>
    <phoneticPr fontId="3"/>
  </si>
  <si>
    <t>原　町</t>
    <phoneticPr fontId="3"/>
  </si>
  <si>
    <t>泉　町</t>
    <phoneticPr fontId="3"/>
  </si>
  <si>
    <t>新　町</t>
    <phoneticPr fontId="3"/>
  </si>
  <si>
    <t>温泉ﾌﾟﾗｻﾞ・広町</t>
    <rPh sb="8" eb="10">
      <t>ヒロマチ</t>
    </rPh>
    <phoneticPr fontId="3"/>
  </si>
  <si>
    <t>大宮町</t>
    <phoneticPr fontId="3"/>
  </si>
  <si>
    <t>米田地区</t>
    <rPh sb="0" eb="2">
      <t>ヨネダ</t>
    </rPh>
    <rPh sb="2" eb="4">
      <t>チク</t>
    </rPh>
    <phoneticPr fontId="3"/>
  </si>
  <si>
    <t>坂田</t>
    <phoneticPr fontId="3"/>
  </si>
  <si>
    <t>小原</t>
    <phoneticPr fontId="3"/>
  </si>
  <si>
    <t>長坂</t>
    <phoneticPr fontId="3"/>
  </si>
  <si>
    <t>上ノ丁</t>
    <phoneticPr fontId="3"/>
  </si>
  <si>
    <t>本　村</t>
    <phoneticPr fontId="3"/>
  </si>
  <si>
    <t>内　曲</t>
    <phoneticPr fontId="3"/>
  </si>
  <si>
    <t>中ノ丁</t>
    <phoneticPr fontId="3"/>
  </si>
  <si>
    <t>橋　場</t>
    <phoneticPr fontId="3"/>
  </si>
  <si>
    <t>志々岐14</t>
    <phoneticPr fontId="3"/>
  </si>
  <si>
    <t>志々岐15</t>
    <phoneticPr fontId="3"/>
  </si>
  <si>
    <r>
      <t>志々岐1</t>
    </r>
    <r>
      <rPr>
        <sz val="11"/>
        <color theme="1"/>
        <rFont val="Yu Gothic"/>
        <family val="2"/>
        <scheme val="minor"/>
      </rPr>
      <t>6</t>
    </r>
    <phoneticPr fontId="3"/>
  </si>
  <si>
    <t>川辺地区</t>
    <rPh sb="0" eb="2">
      <t>カワベ</t>
    </rPh>
    <rPh sb="2" eb="4">
      <t>チク</t>
    </rPh>
    <phoneticPr fontId="3"/>
  </si>
  <si>
    <t>鍋田1</t>
    <phoneticPr fontId="3"/>
  </si>
  <si>
    <t>鍋田2</t>
    <phoneticPr fontId="3"/>
  </si>
  <si>
    <t>田園中村</t>
    <phoneticPr fontId="3"/>
  </si>
  <si>
    <t>八幡林</t>
    <phoneticPr fontId="3"/>
  </si>
  <si>
    <t>六枝梅迫</t>
    <phoneticPr fontId="3"/>
  </si>
  <si>
    <t>上保多田</t>
    <phoneticPr fontId="3"/>
  </si>
  <si>
    <t>桑の迫</t>
    <phoneticPr fontId="3"/>
  </si>
  <si>
    <t>下保多田</t>
    <phoneticPr fontId="3"/>
  </si>
  <si>
    <t>麻生野</t>
    <phoneticPr fontId="3"/>
  </si>
  <si>
    <t>椿　井</t>
    <phoneticPr fontId="3"/>
  </si>
  <si>
    <t>西　牧</t>
    <phoneticPr fontId="3"/>
  </si>
  <si>
    <t>鍋田団地</t>
    <phoneticPr fontId="3"/>
  </si>
  <si>
    <t>八幡地区</t>
    <rPh sb="0" eb="2">
      <t>ヤハタ</t>
    </rPh>
    <rPh sb="2" eb="4">
      <t>チク</t>
    </rPh>
    <phoneticPr fontId="3"/>
  </si>
  <si>
    <t>名　塚</t>
    <phoneticPr fontId="3"/>
  </si>
  <si>
    <t>2-1</t>
    <phoneticPr fontId="3"/>
  </si>
  <si>
    <t>下吉田2-1</t>
    <phoneticPr fontId="3"/>
  </si>
  <si>
    <t>2-2</t>
    <phoneticPr fontId="3"/>
  </si>
  <si>
    <t>宮　苑2-2</t>
    <phoneticPr fontId="3"/>
  </si>
  <si>
    <t>村熊入</t>
    <phoneticPr fontId="3"/>
  </si>
  <si>
    <t>4-1</t>
    <phoneticPr fontId="3"/>
  </si>
  <si>
    <t>熊入下4-1</t>
    <phoneticPr fontId="3"/>
  </si>
  <si>
    <t>4-2</t>
    <phoneticPr fontId="3"/>
  </si>
  <si>
    <t>熊入上4-2</t>
    <phoneticPr fontId="3"/>
  </si>
  <si>
    <t>石　5</t>
    <phoneticPr fontId="3"/>
  </si>
  <si>
    <t>石　6</t>
    <phoneticPr fontId="3"/>
  </si>
  <si>
    <t>杉</t>
    <phoneticPr fontId="3"/>
  </si>
  <si>
    <t>日輪台</t>
    <phoneticPr fontId="3"/>
  </si>
  <si>
    <t>平小城地区</t>
    <rPh sb="0" eb="1">
      <t>ヒラ</t>
    </rPh>
    <rPh sb="1" eb="2">
      <t>オ</t>
    </rPh>
    <rPh sb="2" eb="3">
      <t>ジョウ</t>
    </rPh>
    <rPh sb="3" eb="5">
      <t>チク</t>
    </rPh>
    <phoneticPr fontId="3"/>
  </si>
  <si>
    <t>堂ケ原</t>
    <phoneticPr fontId="3"/>
  </si>
  <si>
    <t>双　板</t>
    <phoneticPr fontId="3"/>
  </si>
  <si>
    <t>笹　原</t>
    <phoneticPr fontId="3"/>
  </si>
  <si>
    <t>湯　山</t>
    <phoneticPr fontId="3"/>
  </si>
  <si>
    <t>前川内</t>
    <phoneticPr fontId="3"/>
  </si>
  <si>
    <t>内　野</t>
    <phoneticPr fontId="3"/>
  </si>
  <si>
    <t>堂ノ原</t>
    <phoneticPr fontId="3"/>
  </si>
  <si>
    <t>城　1</t>
    <phoneticPr fontId="3"/>
  </si>
  <si>
    <t>城　2</t>
    <phoneticPr fontId="3"/>
  </si>
  <si>
    <t>保　柳</t>
    <phoneticPr fontId="3"/>
  </si>
  <si>
    <t>小　群</t>
    <phoneticPr fontId="3"/>
  </si>
  <si>
    <t>央</t>
    <phoneticPr fontId="3"/>
  </si>
  <si>
    <t>大　原</t>
    <phoneticPr fontId="3"/>
  </si>
  <si>
    <t>城ケ原</t>
    <phoneticPr fontId="3"/>
  </si>
  <si>
    <t>三岳地区</t>
    <rPh sb="0" eb="2">
      <t>ミタケ</t>
    </rPh>
    <rPh sb="2" eb="4">
      <t>チク</t>
    </rPh>
    <phoneticPr fontId="3"/>
  </si>
  <si>
    <t>白　坂</t>
    <phoneticPr fontId="3"/>
  </si>
  <si>
    <t>中小坂</t>
    <phoneticPr fontId="3"/>
  </si>
  <si>
    <t>下小坂</t>
    <phoneticPr fontId="3"/>
  </si>
  <si>
    <t>今　寺</t>
    <phoneticPr fontId="3"/>
  </si>
  <si>
    <t>仲　間</t>
    <phoneticPr fontId="3"/>
  </si>
  <si>
    <t>下　宮</t>
    <phoneticPr fontId="3"/>
  </si>
  <si>
    <t>中津留</t>
    <phoneticPr fontId="3"/>
  </si>
  <si>
    <t>小鳥町</t>
    <phoneticPr fontId="3"/>
  </si>
  <si>
    <t>寺 島9</t>
    <phoneticPr fontId="3"/>
  </si>
  <si>
    <t>寺 島10</t>
    <phoneticPr fontId="3"/>
  </si>
  <si>
    <t>津留団地</t>
    <phoneticPr fontId="3"/>
  </si>
  <si>
    <t>三玉地区</t>
    <rPh sb="0" eb="1">
      <t>ミ</t>
    </rPh>
    <rPh sb="1" eb="2">
      <t>タマ</t>
    </rPh>
    <rPh sb="2" eb="4">
      <t>チク</t>
    </rPh>
    <phoneticPr fontId="3"/>
  </si>
  <si>
    <t>蒲　生</t>
    <phoneticPr fontId="3"/>
  </si>
  <si>
    <t>山鹿福原</t>
    <rPh sb="0" eb="2">
      <t>ヤマガ</t>
    </rPh>
    <phoneticPr fontId="3"/>
  </si>
  <si>
    <t>霊　仙</t>
    <phoneticPr fontId="3"/>
  </si>
  <si>
    <t>5-1</t>
    <phoneticPr fontId="3"/>
  </si>
  <si>
    <t>八ﾉ峰5-1</t>
    <phoneticPr fontId="3"/>
  </si>
  <si>
    <t>5-2</t>
    <phoneticPr fontId="3"/>
  </si>
  <si>
    <t>涌尾5-2</t>
    <rPh sb="0" eb="1">
      <t>ワ</t>
    </rPh>
    <phoneticPr fontId="3"/>
  </si>
  <si>
    <t>山鹿五郎丸</t>
    <rPh sb="0" eb="2">
      <t>ヤマガ</t>
    </rPh>
    <phoneticPr fontId="3"/>
  </si>
  <si>
    <t>7-1</t>
    <phoneticPr fontId="3"/>
  </si>
  <si>
    <t>堀内深倉7-1</t>
    <phoneticPr fontId="3"/>
  </si>
  <si>
    <t>7-2</t>
    <phoneticPr fontId="3"/>
  </si>
  <si>
    <t>犬塚7-2</t>
    <phoneticPr fontId="3"/>
  </si>
  <si>
    <t>今　田</t>
    <phoneticPr fontId="3"/>
  </si>
  <si>
    <t>上吉田</t>
    <phoneticPr fontId="3"/>
  </si>
  <si>
    <t>久原団地</t>
    <phoneticPr fontId="3"/>
  </si>
  <si>
    <t>大道地区</t>
    <rPh sb="0" eb="2">
      <t>ダイドウ</t>
    </rPh>
    <rPh sb="2" eb="4">
      <t>チク</t>
    </rPh>
    <phoneticPr fontId="3"/>
  </si>
  <si>
    <t>藤井１</t>
    <phoneticPr fontId="3"/>
  </si>
  <si>
    <t>藤井２</t>
    <phoneticPr fontId="3"/>
  </si>
  <si>
    <t>日　置</t>
    <phoneticPr fontId="3"/>
  </si>
  <si>
    <t>馬見塚</t>
    <phoneticPr fontId="3"/>
  </si>
  <si>
    <t>方保田</t>
    <phoneticPr fontId="3"/>
  </si>
  <si>
    <t>6-1</t>
    <phoneticPr fontId="3"/>
  </si>
  <si>
    <t>白石十三部 ①</t>
    <phoneticPr fontId="3"/>
  </si>
  <si>
    <t>6-2</t>
    <phoneticPr fontId="3"/>
  </si>
  <si>
    <t>白石十三部 ②</t>
    <phoneticPr fontId="3"/>
  </si>
  <si>
    <t>6-3</t>
    <phoneticPr fontId="3"/>
  </si>
  <si>
    <t>白石十三部 ③</t>
    <phoneticPr fontId="3"/>
  </si>
  <si>
    <t>6-4</t>
    <phoneticPr fontId="3"/>
  </si>
  <si>
    <t>白石十三部 ④</t>
    <phoneticPr fontId="3"/>
  </si>
  <si>
    <t>6-5</t>
    <phoneticPr fontId="3"/>
  </si>
  <si>
    <t>白石十三部 ⑤</t>
    <phoneticPr fontId="3"/>
  </si>
  <si>
    <t>古　閑</t>
    <phoneticPr fontId="3"/>
  </si>
  <si>
    <t>8-1</t>
  </si>
  <si>
    <t>中 1</t>
    <phoneticPr fontId="3"/>
  </si>
  <si>
    <t>8-2</t>
    <phoneticPr fontId="3"/>
  </si>
  <si>
    <t>中 2</t>
    <phoneticPr fontId="3"/>
  </si>
  <si>
    <t>9-1</t>
    <phoneticPr fontId="3"/>
  </si>
  <si>
    <t>鹿校通一丁目</t>
    <rPh sb="3" eb="6">
      <t>イチチョウメ</t>
    </rPh>
    <phoneticPr fontId="3"/>
  </si>
  <si>
    <t>9-2</t>
    <phoneticPr fontId="3"/>
  </si>
  <si>
    <t>鹿校通二丁目</t>
    <rPh sb="3" eb="6">
      <t>ニチョウメ</t>
    </rPh>
    <phoneticPr fontId="3"/>
  </si>
  <si>
    <t>9-3</t>
    <phoneticPr fontId="3"/>
  </si>
  <si>
    <t>鹿校通三丁目</t>
    <rPh sb="3" eb="6">
      <t>サンチョウメ</t>
    </rPh>
    <phoneticPr fontId="3"/>
  </si>
  <si>
    <t>9-4</t>
    <phoneticPr fontId="3"/>
  </si>
  <si>
    <t>鹿校通四丁目</t>
    <rPh sb="3" eb="6">
      <t>ヨンチョウメ</t>
    </rPh>
    <phoneticPr fontId="3"/>
  </si>
  <si>
    <t>日ノ出</t>
    <phoneticPr fontId="3"/>
  </si>
  <si>
    <t>山鹿地区</t>
    <rPh sb="0" eb="2">
      <t>ヤマガ</t>
    </rPh>
    <rPh sb="2" eb="4">
      <t>チク</t>
    </rPh>
    <phoneticPr fontId="3"/>
  </si>
  <si>
    <t>※１００部、１００部、２２部に分けてください。</t>
    <rPh sb="4" eb="5">
      <t>ブ</t>
    </rPh>
    <rPh sb="9" eb="10">
      <t>ブブワ</t>
    </rPh>
    <phoneticPr fontId="3"/>
  </si>
  <si>
    <t>岳間地区</t>
    <rPh sb="0" eb="1">
      <t>ダケ</t>
    </rPh>
    <rPh sb="1" eb="2">
      <t>マ</t>
    </rPh>
    <rPh sb="2" eb="4">
      <t>チク</t>
    </rPh>
    <phoneticPr fontId="3"/>
  </si>
  <si>
    <t>小川内</t>
    <rPh sb="0" eb="1">
      <t>ショウ</t>
    </rPh>
    <rPh sb="1" eb="2">
      <t>カワ</t>
    </rPh>
    <rPh sb="2" eb="3">
      <t>ウチ</t>
    </rPh>
    <phoneticPr fontId="3"/>
  </si>
  <si>
    <t>後川内</t>
    <phoneticPr fontId="3"/>
  </si>
  <si>
    <t>市　木</t>
    <phoneticPr fontId="3"/>
  </si>
  <si>
    <t>下　村</t>
    <phoneticPr fontId="3"/>
  </si>
  <si>
    <t>南松尾</t>
    <phoneticPr fontId="3"/>
  </si>
  <si>
    <t>須　屋</t>
    <phoneticPr fontId="3"/>
  </si>
  <si>
    <t>星　原</t>
    <phoneticPr fontId="3"/>
  </si>
  <si>
    <t>荒　平</t>
    <phoneticPr fontId="3"/>
  </si>
  <si>
    <t>田　中</t>
    <phoneticPr fontId="3"/>
  </si>
  <si>
    <t>原</t>
    <phoneticPr fontId="3"/>
  </si>
  <si>
    <t>本多久</t>
    <phoneticPr fontId="3"/>
  </si>
  <si>
    <t>金　原</t>
    <phoneticPr fontId="3"/>
  </si>
  <si>
    <t>入　道</t>
    <phoneticPr fontId="3"/>
  </si>
  <si>
    <t>茂田井</t>
    <phoneticPr fontId="3"/>
  </si>
  <si>
    <t>岩野地区</t>
    <rPh sb="0" eb="1">
      <t>イワ</t>
    </rPh>
    <rPh sb="1" eb="2">
      <t>ノ</t>
    </rPh>
    <rPh sb="2" eb="4">
      <t>チク</t>
    </rPh>
    <phoneticPr fontId="3"/>
  </si>
  <si>
    <t>麻　生</t>
    <phoneticPr fontId="3"/>
  </si>
  <si>
    <t>皆　瀬</t>
    <phoneticPr fontId="3"/>
  </si>
  <si>
    <t>高井川</t>
    <phoneticPr fontId="3"/>
  </si>
  <si>
    <t>東栗瀬</t>
    <phoneticPr fontId="3"/>
  </si>
  <si>
    <t>西栗瀬</t>
    <phoneticPr fontId="3"/>
  </si>
  <si>
    <t>陣　内</t>
    <phoneticPr fontId="3"/>
  </si>
  <si>
    <t>宮　迫</t>
    <phoneticPr fontId="3"/>
  </si>
  <si>
    <t>柿　原</t>
    <phoneticPr fontId="3"/>
  </si>
  <si>
    <t>福　原</t>
    <phoneticPr fontId="3"/>
  </si>
  <si>
    <t>弁　天</t>
    <phoneticPr fontId="3"/>
  </si>
  <si>
    <t>尾　谷</t>
    <phoneticPr fontId="3"/>
  </si>
  <si>
    <t>下　中</t>
    <phoneticPr fontId="3"/>
  </si>
  <si>
    <t>上　中</t>
    <phoneticPr fontId="3"/>
  </si>
  <si>
    <t>竹の谷</t>
    <phoneticPr fontId="3"/>
  </si>
  <si>
    <t>男　岳</t>
    <phoneticPr fontId="3"/>
  </si>
  <si>
    <t>柚の木谷</t>
    <phoneticPr fontId="3"/>
  </si>
  <si>
    <t>中津川</t>
    <phoneticPr fontId="3"/>
  </si>
  <si>
    <t>底　野</t>
    <phoneticPr fontId="3"/>
  </si>
  <si>
    <t>三　楠</t>
    <phoneticPr fontId="3"/>
  </si>
  <si>
    <t>田　渕</t>
    <phoneticPr fontId="3"/>
  </si>
  <si>
    <t>柏ノ木</t>
    <phoneticPr fontId="3"/>
  </si>
  <si>
    <t>東　野</t>
    <phoneticPr fontId="3"/>
  </si>
  <si>
    <t>広見地区</t>
    <rPh sb="2" eb="4">
      <t>チク</t>
    </rPh>
    <phoneticPr fontId="3"/>
  </si>
  <si>
    <t>浦　方</t>
    <phoneticPr fontId="3"/>
  </si>
  <si>
    <t>桑　原</t>
    <phoneticPr fontId="3"/>
  </si>
  <si>
    <t>枝川内</t>
    <phoneticPr fontId="3"/>
  </si>
  <si>
    <t>迫</t>
    <phoneticPr fontId="3"/>
  </si>
  <si>
    <t>才　野</t>
    <phoneticPr fontId="3"/>
  </si>
  <si>
    <t>幸ヶ丘</t>
    <phoneticPr fontId="3"/>
  </si>
  <si>
    <t>細　永</t>
    <phoneticPr fontId="3"/>
  </si>
  <si>
    <t>川原谷</t>
    <phoneticPr fontId="3"/>
  </si>
  <si>
    <t>釘の花</t>
    <phoneticPr fontId="3"/>
  </si>
  <si>
    <t>山　下</t>
    <phoneticPr fontId="3"/>
  </si>
  <si>
    <t>堂　原</t>
    <phoneticPr fontId="3"/>
  </si>
  <si>
    <t>中　間</t>
    <phoneticPr fontId="3"/>
  </si>
  <si>
    <t>鹿北地域</t>
  </si>
  <si>
    <t>内田地区</t>
    <rPh sb="0" eb="2">
      <t>ウチダ</t>
    </rPh>
    <rPh sb="2" eb="4">
      <t>チク</t>
    </rPh>
    <phoneticPr fontId="3"/>
  </si>
  <si>
    <t>１ 　区</t>
    <rPh sb="3" eb="4">
      <t>ク</t>
    </rPh>
    <phoneticPr fontId="3"/>
  </si>
  <si>
    <t>２ 　区</t>
    <rPh sb="3" eb="4">
      <t>ク</t>
    </rPh>
    <phoneticPr fontId="3"/>
  </si>
  <si>
    <t>３　 区</t>
    <rPh sb="3" eb="4">
      <t>ク</t>
    </rPh>
    <phoneticPr fontId="3"/>
  </si>
  <si>
    <t>４　 区</t>
    <rPh sb="3" eb="4">
      <t>ク</t>
    </rPh>
    <phoneticPr fontId="3"/>
  </si>
  <si>
    <t>５ 　区</t>
    <rPh sb="3" eb="4">
      <t>ク</t>
    </rPh>
    <phoneticPr fontId="3"/>
  </si>
  <si>
    <t>６　 区</t>
    <rPh sb="3" eb="4">
      <t>ク</t>
    </rPh>
    <phoneticPr fontId="3"/>
  </si>
  <si>
    <t>７ 　区</t>
    <rPh sb="3" eb="4">
      <t>ク</t>
    </rPh>
    <phoneticPr fontId="3"/>
  </si>
  <si>
    <t>８　 区</t>
    <rPh sb="3" eb="4">
      <t>ク</t>
    </rPh>
    <phoneticPr fontId="3"/>
  </si>
  <si>
    <t>９ 　区</t>
    <rPh sb="3" eb="4">
      <t>ク</t>
    </rPh>
    <phoneticPr fontId="3"/>
  </si>
  <si>
    <t>六郷地区</t>
    <rPh sb="0" eb="2">
      <t>ロクゴウ</t>
    </rPh>
    <rPh sb="2" eb="4">
      <t>チク</t>
    </rPh>
    <phoneticPr fontId="3"/>
  </si>
  <si>
    <t>川 　西</t>
    <rPh sb="0" eb="1">
      <t>カワ</t>
    </rPh>
    <rPh sb="3" eb="4">
      <t>ニシ</t>
    </rPh>
    <phoneticPr fontId="3"/>
  </si>
  <si>
    <t>島　 田</t>
    <rPh sb="0" eb="1">
      <t>シマ</t>
    </rPh>
    <rPh sb="3" eb="4">
      <t>タ</t>
    </rPh>
    <phoneticPr fontId="3"/>
  </si>
  <si>
    <t>山の井</t>
    <rPh sb="0" eb="1">
      <t>ヤマ</t>
    </rPh>
    <rPh sb="2" eb="3">
      <t>イ</t>
    </rPh>
    <phoneticPr fontId="3"/>
  </si>
  <si>
    <t>　日 　渡　</t>
    <rPh sb="1" eb="2">
      <t>ヒ</t>
    </rPh>
    <rPh sb="4" eb="5">
      <t>ワタリ</t>
    </rPh>
    <phoneticPr fontId="3"/>
  </si>
  <si>
    <t>下永野1</t>
    <rPh sb="0" eb="3">
      <t>シモナガノ</t>
    </rPh>
    <phoneticPr fontId="3"/>
  </si>
  <si>
    <t>下永野2</t>
    <rPh sb="0" eb="3">
      <t>シモナガノ</t>
    </rPh>
    <phoneticPr fontId="3"/>
  </si>
  <si>
    <t>下 　組</t>
    <rPh sb="0" eb="1">
      <t>シタ</t>
    </rPh>
    <rPh sb="3" eb="4">
      <t>クミ</t>
    </rPh>
    <phoneticPr fontId="3"/>
  </si>
  <si>
    <t>上 　組</t>
    <rPh sb="0" eb="1">
      <t>ウエ</t>
    </rPh>
    <rPh sb="3" eb="4">
      <t>クミ</t>
    </rPh>
    <phoneticPr fontId="3"/>
  </si>
  <si>
    <t>菊鹿五郎丸</t>
    <rPh sb="0" eb="2">
      <t>キクカ</t>
    </rPh>
    <rPh sb="2" eb="5">
      <t>ゴロウマル</t>
    </rPh>
    <phoneticPr fontId="3"/>
  </si>
  <si>
    <t>太 　田</t>
    <rPh sb="0" eb="1">
      <t>フトシ</t>
    </rPh>
    <rPh sb="3" eb="4">
      <t>タ</t>
    </rPh>
    <phoneticPr fontId="3"/>
  </si>
  <si>
    <t>川　 原</t>
    <rPh sb="0" eb="1">
      <t>カワ</t>
    </rPh>
    <rPh sb="3" eb="4">
      <t>ハラ</t>
    </rPh>
    <phoneticPr fontId="3"/>
  </si>
  <si>
    <t>長谷川</t>
    <rPh sb="0" eb="3">
      <t>ハセガワ</t>
    </rPh>
    <phoneticPr fontId="3"/>
  </si>
  <si>
    <t>長 　谷</t>
    <rPh sb="0" eb="1">
      <t>チョウ</t>
    </rPh>
    <rPh sb="3" eb="4">
      <t>タニ</t>
    </rPh>
    <phoneticPr fontId="3"/>
  </si>
  <si>
    <t>日渡団地</t>
    <rPh sb="0" eb="2">
      <t>ヒワタシ</t>
    </rPh>
    <rPh sb="2" eb="4">
      <t>ダンチ</t>
    </rPh>
    <phoneticPr fontId="3"/>
  </si>
  <si>
    <t>みどり団地</t>
    <rPh sb="3" eb="5">
      <t>ダンチ</t>
    </rPh>
    <phoneticPr fontId="3"/>
  </si>
  <si>
    <t>城北地区</t>
    <rPh sb="0" eb="1">
      <t>シロ</t>
    </rPh>
    <rPh sb="1" eb="2">
      <t>キタ</t>
    </rPh>
    <rPh sb="2" eb="4">
      <t>チク</t>
    </rPh>
    <phoneticPr fontId="3"/>
  </si>
  <si>
    <t>上本分</t>
    <rPh sb="0" eb="1">
      <t>カミ</t>
    </rPh>
    <rPh sb="1" eb="3">
      <t>ホンブン</t>
    </rPh>
    <phoneticPr fontId="3"/>
  </si>
  <si>
    <t>下本分</t>
    <rPh sb="0" eb="1">
      <t>シモ</t>
    </rPh>
    <rPh sb="1" eb="3">
      <t>ホンブン</t>
    </rPh>
    <phoneticPr fontId="3"/>
  </si>
  <si>
    <t>黒 　蛭</t>
    <rPh sb="0" eb="1">
      <t>クロ</t>
    </rPh>
    <rPh sb="3" eb="4">
      <t>ヒル</t>
    </rPh>
    <phoneticPr fontId="3"/>
  </si>
  <si>
    <t>米 　原</t>
    <rPh sb="0" eb="1">
      <t>ベイ</t>
    </rPh>
    <rPh sb="3" eb="4">
      <t>ハラ</t>
    </rPh>
    <phoneticPr fontId="3"/>
  </si>
  <si>
    <t>立 　徳</t>
    <rPh sb="0" eb="1">
      <t>リュウ</t>
    </rPh>
    <rPh sb="3" eb="4">
      <t>トク</t>
    </rPh>
    <phoneticPr fontId="3"/>
  </si>
  <si>
    <t>木　 山</t>
    <rPh sb="0" eb="1">
      <t>キ</t>
    </rPh>
    <rPh sb="3" eb="4">
      <t>ヤマ</t>
    </rPh>
    <phoneticPr fontId="3"/>
  </si>
  <si>
    <t>横 　枕</t>
    <rPh sb="0" eb="1">
      <t>ヨコ</t>
    </rPh>
    <rPh sb="3" eb="4">
      <t>マクラ</t>
    </rPh>
    <phoneticPr fontId="3"/>
  </si>
  <si>
    <t>道 　場</t>
    <rPh sb="0" eb="1">
      <t>ミチ</t>
    </rPh>
    <rPh sb="3" eb="4">
      <t>バ</t>
    </rPh>
    <phoneticPr fontId="3"/>
  </si>
  <si>
    <t>大 　林</t>
    <rPh sb="0" eb="1">
      <t>ダイ</t>
    </rPh>
    <rPh sb="3" eb="4">
      <t>ハヤシ</t>
    </rPh>
    <phoneticPr fontId="3"/>
  </si>
  <si>
    <t>池 　田</t>
    <rPh sb="0" eb="1">
      <t>イケ</t>
    </rPh>
    <rPh sb="3" eb="4">
      <t>タ</t>
    </rPh>
    <phoneticPr fontId="3"/>
  </si>
  <si>
    <t>永 　山</t>
    <rPh sb="0" eb="1">
      <t>ヒサシ</t>
    </rPh>
    <rPh sb="3" eb="4">
      <t>ヤマ</t>
    </rPh>
    <phoneticPr fontId="3"/>
  </si>
  <si>
    <t>酒造野</t>
    <rPh sb="0" eb="3">
      <t>スゾノ</t>
    </rPh>
    <phoneticPr fontId="3"/>
  </si>
  <si>
    <t>宮　 原</t>
    <rPh sb="0" eb="1">
      <t>ミヤ</t>
    </rPh>
    <rPh sb="3" eb="4">
      <t>ハラ</t>
    </rPh>
    <phoneticPr fontId="3"/>
  </si>
  <si>
    <t>阿佐古</t>
    <rPh sb="0" eb="3">
      <t>アサゴ</t>
    </rPh>
    <phoneticPr fontId="3"/>
  </si>
  <si>
    <t>菊鹿地域</t>
  </si>
  <si>
    <t>菊鹿地域</t>
    <phoneticPr fontId="3"/>
  </si>
  <si>
    <t>鹿本地域</t>
  </si>
  <si>
    <t>来民地区</t>
    <rPh sb="0" eb="1">
      <t>ク</t>
    </rPh>
    <rPh sb="1" eb="2">
      <t>タミ</t>
    </rPh>
    <rPh sb="2" eb="4">
      <t>チク</t>
    </rPh>
    <phoneticPr fontId="3"/>
  </si>
  <si>
    <t>辺田目､裏方､笹本</t>
  </si>
  <si>
    <t>今古閑、良福寺</t>
  </si>
  <si>
    <t>新屋敷</t>
  </si>
  <si>
    <t>上中町</t>
  </si>
  <si>
    <t xml:space="preserve">来民中町 </t>
  </si>
  <si>
    <t>下中町</t>
  </si>
  <si>
    <t xml:space="preserve">来民下町 </t>
  </si>
  <si>
    <t xml:space="preserve">大正町 </t>
  </si>
  <si>
    <t>御宇田</t>
  </si>
  <si>
    <t>南古閑</t>
  </si>
  <si>
    <t>原　 部</t>
  </si>
  <si>
    <t>坂 　東</t>
  </si>
  <si>
    <t>駅　 通</t>
  </si>
  <si>
    <t>稲田地区</t>
    <rPh sb="2" eb="4">
      <t>チク</t>
    </rPh>
    <phoneticPr fontId="3"/>
  </si>
  <si>
    <t>高 　橋</t>
  </si>
  <si>
    <t>津 　袋</t>
  </si>
  <si>
    <t>庄</t>
  </si>
  <si>
    <t>石 　渕</t>
  </si>
  <si>
    <t>下高橋</t>
  </si>
  <si>
    <t>小 　嶋</t>
  </si>
  <si>
    <t>中富地区</t>
    <rPh sb="2" eb="4">
      <t>チク</t>
    </rPh>
    <phoneticPr fontId="3"/>
  </si>
  <si>
    <t>梶   屋</t>
  </si>
  <si>
    <t>下梶屋</t>
  </si>
  <si>
    <t>中　 富</t>
  </si>
  <si>
    <t>川　 北</t>
  </si>
  <si>
    <t>川 　南</t>
  </si>
  <si>
    <t>分 　田</t>
  </si>
  <si>
    <t>中分田</t>
  </si>
  <si>
    <t>下分田</t>
  </si>
  <si>
    <t>小　 柳</t>
  </si>
  <si>
    <t>千田地区</t>
    <rPh sb="0" eb="2">
      <t>チダ</t>
    </rPh>
    <rPh sb="2" eb="4">
      <t>チク</t>
    </rPh>
    <phoneticPr fontId="3"/>
  </si>
  <si>
    <t>奥永</t>
    <rPh sb="0" eb="1">
      <t>オク</t>
    </rPh>
    <rPh sb="1" eb="2">
      <t>ナガ</t>
    </rPh>
    <phoneticPr fontId="3"/>
  </si>
  <si>
    <t>上久野</t>
  </si>
  <si>
    <t>久野</t>
  </si>
  <si>
    <t>宮</t>
  </si>
  <si>
    <t>下千田</t>
    <rPh sb="0" eb="1">
      <t>シモ</t>
    </rPh>
    <rPh sb="1" eb="3">
      <t>チダ</t>
    </rPh>
    <phoneticPr fontId="3"/>
  </si>
  <si>
    <t>上千田</t>
    <rPh sb="0" eb="1">
      <t>カミ</t>
    </rPh>
    <rPh sb="1" eb="3">
      <t>チダ</t>
    </rPh>
    <phoneticPr fontId="3"/>
  </si>
  <si>
    <t>水原</t>
    <rPh sb="0" eb="2">
      <t>ミズハル</t>
    </rPh>
    <phoneticPr fontId="3"/>
  </si>
  <si>
    <t>元広</t>
    <rPh sb="0" eb="1">
      <t>モト</t>
    </rPh>
    <rPh sb="1" eb="2">
      <t>ヒロ</t>
    </rPh>
    <phoneticPr fontId="3"/>
  </si>
  <si>
    <t>上広</t>
    <rPh sb="0" eb="1">
      <t>カミ</t>
    </rPh>
    <rPh sb="1" eb="2">
      <t>ヒロ</t>
    </rPh>
    <phoneticPr fontId="3"/>
  </si>
  <si>
    <t>下原</t>
    <rPh sb="0" eb="2">
      <t>シモバル</t>
    </rPh>
    <phoneticPr fontId="3"/>
  </si>
  <si>
    <t>持松東</t>
  </si>
  <si>
    <t>持松西</t>
  </si>
  <si>
    <t>米野岳地区</t>
    <rPh sb="0" eb="1">
      <t>コメ</t>
    </rPh>
    <rPh sb="1" eb="2">
      <t>ノ</t>
    </rPh>
    <rPh sb="2" eb="3">
      <t>タケ</t>
    </rPh>
    <rPh sb="3" eb="5">
      <t>チク</t>
    </rPh>
    <phoneticPr fontId="3"/>
  </si>
  <si>
    <t>米野</t>
    <rPh sb="0" eb="2">
      <t>メノ</t>
    </rPh>
    <phoneticPr fontId="3"/>
  </si>
  <si>
    <t>堂米野</t>
    <rPh sb="0" eb="1">
      <t>ドウ</t>
    </rPh>
    <rPh sb="1" eb="3">
      <t>メノ</t>
    </rPh>
    <phoneticPr fontId="3"/>
  </si>
  <si>
    <t>下米野</t>
    <rPh sb="0" eb="1">
      <t>シモ</t>
    </rPh>
    <rPh sb="1" eb="3">
      <t>メノ</t>
    </rPh>
    <phoneticPr fontId="3"/>
  </si>
  <si>
    <t>上岩原</t>
    <rPh sb="0" eb="1">
      <t>カミ</t>
    </rPh>
    <rPh sb="1" eb="3">
      <t>イワバル</t>
    </rPh>
    <phoneticPr fontId="3"/>
  </si>
  <si>
    <t>岩原</t>
    <rPh sb="0" eb="2">
      <t>イワハラ</t>
    </rPh>
    <phoneticPr fontId="3"/>
  </si>
  <si>
    <t>春間</t>
    <rPh sb="0" eb="1">
      <t>ハル</t>
    </rPh>
    <rPh sb="1" eb="2">
      <t>マ</t>
    </rPh>
    <phoneticPr fontId="3"/>
  </si>
  <si>
    <t>郷原</t>
    <rPh sb="0" eb="2">
      <t>ゴウバル</t>
    </rPh>
    <phoneticPr fontId="3"/>
  </si>
  <si>
    <t>岩倉</t>
    <rPh sb="0" eb="2">
      <t>イワクラ</t>
    </rPh>
    <phoneticPr fontId="3"/>
  </si>
  <si>
    <t>一里木団地</t>
    <rPh sb="0" eb="2">
      <t>イチリ</t>
    </rPh>
    <rPh sb="2" eb="3">
      <t>キ</t>
    </rPh>
    <rPh sb="3" eb="5">
      <t>ダンチ</t>
    </rPh>
    <phoneticPr fontId="3"/>
  </si>
  <si>
    <t>山内地区</t>
    <rPh sb="0" eb="2">
      <t>ヤマウチ</t>
    </rPh>
    <rPh sb="2" eb="4">
      <t>チク</t>
    </rPh>
    <phoneticPr fontId="3"/>
  </si>
  <si>
    <t>姫井</t>
    <rPh sb="0" eb="2">
      <t>ヒメイ</t>
    </rPh>
    <phoneticPr fontId="3"/>
  </si>
  <si>
    <t>霜野</t>
  </si>
  <si>
    <t>仁王堂</t>
  </si>
  <si>
    <t>北谷</t>
  </si>
  <si>
    <t>梅木谷</t>
  </si>
  <si>
    <t>大浦</t>
  </si>
  <si>
    <t>中浦</t>
  </si>
  <si>
    <t>姫井団地</t>
    <rPh sb="0" eb="2">
      <t>ヒメイ</t>
    </rPh>
    <rPh sb="2" eb="4">
      <t>ダンチ</t>
    </rPh>
    <phoneticPr fontId="3"/>
  </si>
  <si>
    <t>鹿央地域</t>
  </si>
  <si>
    <t>鹿央地域</t>
    <rPh sb="0" eb="1">
      <t>シカ</t>
    </rPh>
    <rPh sb="2" eb="4">
      <t>チイキ</t>
    </rPh>
    <phoneticPr fontId="3"/>
  </si>
  <si>
    <t>鹿北市民センター</t>
    <rPh sb="0" eb="2">
      <t>カホク</t>
    </rPh>
    <rPh sb="2" eb="4">
      <t>シミン</t>
    </rPh>
    <phoneticPr fontId="3"/>
  </si>
  <si>
    <t>菊鹿市民センター</t>
    <rPh sb="0" eb="2">
      <t>キクカ</t>
    </rPh>
    <rPh sb="2" eb="4">
      <t>シミン</t>
    </rPh>
    <phoneticPr fontId="3"/>
  </si>
  <si>
    <t>鹿本市民センター</t>
    <rPh sb="0" eb="2">
      <t>カモト</t>
    </rPh>
    <rPh sb="2" eb="4">
      <t>シミン</t>
    </rPh>
    <phoneticPr fontId="3"/>
  </si>
  <si>
    <t>鹿央市民センター</t>
    <rPh sb="0" eb="2">
      <t>カオウ</t>
    </rPh>
    <rPh sb="2" eb="4">
      <t>シミン</t>
    </rPh>
    <phoneticPr fontId="3"/>
  </si>
  <si>
    <t>広報係</t>
    <rPh sb="0" eb="2">
      <t>コウホウ</t>
    </rPh>
    <rPh sb="2" eb="3">
      <t>カカリ</t>
    </rPh>
    <phoneticPr fontId="3"/>
  </si>
  <si>
    <t>市民センター</t>
  </si>
  <si>
    <t>市民センター</t>
    <phoneticPr fontId="3"/>
  </si>
  <si>
    <t>岳間地区</t>
  </si>
  <si>
    <t>岩野地区</t>
  </si>
  <si>
    <t>広見地区</t>
  </si>
  <si>
    <t>内田地区</t>
  </si>
  <si>
    <t>六郷地区</t>
  </si>
  <si>
    <t>城北地区</t>
  </si>
  <si>
    <t>来民地区</t>
  </si>
  <si>
    <t>稲田地区</t>
  </si>
  <si>
    <t>中富地区</t>
  </si>
  <si>
    <t>千田地区</t>
  </si>
  <si>
    <t>米野岳地区</t>
  </si>
  <si>
    <t>山内地区</t>
  </si>
  <si>
    <r>
      <t>志々岐1</t>
    </r>
    <r>
      <rPr>
        <sz val="10"/>
        <color theme="1"/>
        <rFont val="Meiryo UI"/>
        <family val="3"/>
        <charset val="128"/>
      </rPr>
      <t>6</t>
    </r>
    <phoneticPr fontId="3"/>
  </si>
  <si>
    <t>予備込み</t>
    <rPh sb="0" eb="2">
      <t>ヨビ</t>
    </rPh>
    <rPh sb="2" eb="3">
      <t>コ</t>
    </rPh>
    <phoneticPr fontId="3"/>
  </si>
  <si>
    <t>補足</t>
    <rPh sb="0" eb="2">
      <t>ホソク</t>
    </rPh>
    <phoneticPr fontId="3"/>
  </si>
  <si>
    <t>予備数</t>
    <rPh sb="0" eb="2">
      <t>ヨビ</t>
    </rPh>
    <rPh sb="2" eb="3">
      <t>スウ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</si>
</sst>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9" formatCode="#,##0;[Red]#,##0"/>
    <numFmt numFmtId="180" formatCode="#,##0_ "/>
  </numFmts>
  <fonts count="1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Yu Gothic"/>
      <family val="3"/>
      <charset val="128"/>
      <scheme val="minor"/>
    </font>
    <font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0"/>
      <color theme="1"/>
      <name val="Meiryo UI"/>
      <family val="3"/>
      <charset val="128"/>
    </font>
    <font>
      <sz val="1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name val="Meiryo UI"/>
      <family val="3"/>
      <charset val="128"/>
    </font>
    <font>
      <sz val="10"/>
      <color indexed="8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38" fontId="2" fillId="0" borderId="0" applyFont="0" applyFill="0" applyBorder="0" applyAlignment="0" applyProtection="0">
      <alignment vertical="center"/>
    </xf>
    <xf numFmtId="0" fontId="4" fillId="0" borderId="0"/>
  </cellStyleXfs>
  <cellXfs count="203">
    <xf numFmtId="0" fontId="0" fillId="0" borderId="0" xfId="0"/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 shrinkToFit="1"/>
    </xf>
    <xf numFmtId="179" fontId="5" fillId="0" borderId="3" xfId="1" applyNumberFormat="1" applyFont="1" applyFill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shrinkToFit="1"/>
    </xf>
    <xf numFmtId="179" fontId="5" fillId="0" borderId="4" xfId="1" applyNumberFormat="1" applyFont="1" applyFill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 shrinkToFit="1"/>
    </xf>
    <xf numFmtId="0" fontId="4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left" vertical="center" shrinkToFit="1"/>
    </xf>
    <xf numFmtId="179" fontId="5" fillId="0" borderId="6" xfId="1" applyNumberFormat="1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79" fontId="5" fillId="0" borderId="1" xfId="1" applyNumberFormat="1" applyFont="1" applyFill="1" applyBorder="1" applyAlignment="1">
      <alignment vertical="center"/>
    </xf>
    <xf numFmtId="0" fontId="4" fillId="0" borderId="9" xfId="0" applyFont="1" applyBorder="1" applyAlignment="1">
      <alignment vertical="center" textRotation="255"/>
    </xf>
    <xf numFmtId="0" fontId="0" fillId="0" borderId="5" xfId="0" applyBorder="1" applyAlignment="1">
      <alignment horizontal="left" vertical="center"/>
    </xf>
    <xf numFmtId="0" fontId="4" fillId="0" borderId="10" xfId="0" applyFont="1" applyBorder="1" applyAlignment="1">
      <alignment vertical="center" textRotation="255"/>
    </xf>
    <xf numFmtId="0" fontId="4" fillId="0" borderId="7" xfId="0" applyFont="1" applyBorder="1" applyAlignment="1">
      <alignment horizontal="left" vertical="center"/>
    </xf>
    <xf numFmtId="179" fontId="5" fillId="0" borderId="11" xfId="1" applyNumberFormat="1" applyFont="1" applyFill="1" applyBorder="1" applyAlignment="1">
      <alignment vertical="center"/>
    </xf>
    <xf numFmtId="0" fontId="4" fillId="0" borderId="2" xfId="0" applyFont="1" applyBorder="1" applyAlignment="1">
      <alignment horizontal="left" vertical="center" shrinkToFit="1"/>
    </xf>
    <xf numFmtId="179" fontId="5" fillId="0" borderId="12" xfId="1" applyNumberFormat="1" applyFont="1" applyFill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left" vertical="center" shrinkToFit="1"/>
    </xf>
    <xf numFmtId="0" fontId="4" fillId="0" borderId="7" xfId="0" applyFont="1" applyBorder="1" applyAlignment="1">
      <alignment horizontal="left" vertical="center" shrinkToFit="1"/>
    </xf>
    <xf numFmtId="0" fontId="4" fillId="0" borderId="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 shrinkToFit="1"/>
    </xf>
    <xf numFmtId="0" fontId="5" fillId="0" borderId="4" xfId="0" applyFont="1" applyBorder="1" applyAlignment="1">
      <alignment vertical="center"/>
    </xf>
    <xf numFmtId="0" fontId="5" fillId="0" borderId="4" xfId="0" applyFont="1" applyBorder="1" applyAlignment="1">
      <alignment horizontal="right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left" vertical="center" shrinkToFit="1"/>
    </xf>
    <xf numFmtId="179" fontId="0" fillId="2" borderId="16" xfId="0" applyNumberFormat="1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0" fillId="2" borderId="17" xfId="0" applyFill="1" applyBorder="1" applyAlignment="1">
      <alignment vertical="center"/>
    </xf>
    <xf numFmtId="0" fontId="4" fillId="2" borderId="17" xfId="0" applyFont="1" applyFill="1" applyBorder="1" applyAlignment="1">
      <alignment vertical="center"/>
    </xf>
    <xf numFmtId="0" fontId="7" fillId="2" borderId="0" xfId="0" applyFont="1" applyFill="1" applyAlignment="1">
      <alignment vertical="center"/>
    </xf>
    <xf numFmtId="0" fontId="0" fillId="2" borderId="18" xfId="0" applyFill="1" applyBorder="1" applyAlignment="1">
      <alignment vertical="center"/>
    </xf>
    <xf numFmtId="179" fontId="6" fillId="2" borderId="0" xfId="0" applyNumberFormat="1" applyFont="1" applyFill="1" applyAlignment="1">
      <alignment vertical="center"/>
    </xf>
    <xf numFmtId="0" fontId="0" fillId="2" borderId="16" xfId="0" applyFill="1" applyBorder="1" applyAlignment="1">
      <alignment vertical="center"/>
    </xf>
    <xf numFmtId="0" fontId="4" fillId="2" borderId="18" xfId="0" applyFont="1" applyFill="1" applyBorder="1" applyAlignment="1">
      <alignment vertical="center"/>
    </xf>
    <xf numFmtId="0" fontId="4" fillId="2" borderId="16" xfId="0" applyFont="1" applyFill="1" applyBorder="1" applyAlignment="1">
      <alignment vertical="center"/>
    </xf>
    <xf numFmtId="0" fontId="4" fillId="2" borderId="19" xfId="0" applyFont="1" applyFill="1" applyBorder="1" applyAlignment="1">
      <alignment vertical="center"/>
    </xf>
    <xf numFmtId="0" fontId="0" fillId="0" borderId="17" xfId="0" applyBorder="1" applyAlignment="1">
      <alignment vertical="center"/>
    </xf>
    <xf numFmtId="0" fontId="4" fillId="0" borderId="17" xfId="0" applyFont="1" applyBorder="1" applyAlignment="1">
      <alignment vertical="center"/>
    </xf>
    <xf numFmtId="179" fontId="0" fillId="0" borderId="17" xfId="0" applyNumberFormat="1" applyBorder="1" applyAlignment="1">
      <alignment vertical="center"/>
    </xf>
    <xf numFmtId="179" fontId="0" fillId="2" borderId="17" xfId="0" applyNumberFormat="1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0" fontId="0" fillId="0" borderId="21" xfId="0" applyBorder="1" applyAlignment="1">
      <alignment vertical="center" textRotation="255"/>
    </xf>
    <xf numFmtId="0" fontId="4" fillId="0" borderId="22" xfId="0" applyFont="1" applyBorder="1" applyAlignment="1">
      <alignment horizontal="center" vertical="center"/>
    </xf>
    <xf numFmtId="0" fontId="4" fillId="0" borderId="12" xfId="0" applyFont="1" applyBorder="1" applyAlignment="1">
      <alignment horizontal="left" vertical="center"/>
    </xf>
    <xf numFmtId="0" fontId="8" fillId="0" borderId="23" xfId="0" applyFont="1" applyBorder="1" applyAlignment="1">
      <alignment horizontal="right" vertical="center"/>
    </xf>
    <xf numFmtId="0" fontId="4" fillId="0" borderId="24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25" xfId="0" applyFont="1" applyBorder="1" applyAlignment="1">
      <alignment vertical="center" textRotation="255"/>
    </xf>
    <xf numFmtId="0" fontId="4" fillId="0" borderId="26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0" fillId="0" borderId="24" xfId="0" applyBorder="1" applyAlignment="1">
      <alignment vertical="center"/>
    </xf>
    <xf numFmtId="0" fontId="4" fillId="0" borderId="27" xfId="0" applyFont="1" applyBorder="1" applyAlignment="1">
      <alignment vertical="center" textRotation="255"/>
    </xf>
    <xf numFmtId="0" fontId="4" fillId="0" borderId="28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8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vertical="center"/>
    </xf>
    <xf numFmtId="0" fontId="0" fillId="0" borderId="25" xfId="0" applyBorder="1" applyAlignment="1">
      <alignment vertical="center" textRotation="255"/>
    </xf>
    <xf numFmtId="0" fontId="4" fillId="0" borderId="31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32" xfId="0" applyFont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0" borderId="34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8" fillId="0" borderId="36" xfId="0" applyFont="1" applyBorder="1" applyAlignment="1">
      <alignment horizontal="right" vertical="center"/>
    </xf>
    <xf numFmtId="180" fontId="4" fillId="0" borderId="0" xfId="0" applyNumberFormat="1" applyFont="1" applyAlignment="1">
      <alignment vertical="center"/>
    </xf>
    <xf numFmtId="0" fontId="4" fillId="0" borderId="27" xfId="0" applyFont="1" applyBorder="1" applyAlignment="1">
      <alignment horizontal="center" vertical="center" textRotation="255"/>
    </xf>
    <xf numFmtId="0" fontId="4" fillId="0" borderId="37" xfId="0" applyFont="1" applyBorder="1" applyAlignment="1">
      <alignment horizontal="center" vertical="center"/>
    </xf>
    <xf numFmtId="0" fontId="8" fillId="0" borderId="6" xfId="0" applyFont="1" applyBorder="1" applyAlignment="1">
      <alignment horizontal="right" vertical="center"/>
    </xf>
    <xf numFmtId="0" fontId="4" fillId="0" borderId="38" xfId="0" applyFont="1" applyBorder="1" applyAlignment="1">
      <alignment vertical="center"/>
    </xf>
    <xf numFmtId="180" fontId="4" fillId="0" borderId="39" xfId="0" applyNumberFormat="1" applyFont="1" applyBorder="1" applyAlignment="1">
      <alignment vertical="center"/>
    </xf>
    <xf numFmtId="0" fontId="0" fillId="0" borderId="40" xfId="0" applyBorder="1" applyAlignment="1">
      <alignment vertical="center" textRotation="255"/>
    </xf>
    <xf numFmtId="0" fontId="4" fillId="0" borderId="4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0" fillId="0" borderId="42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38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4" xfId="0" applyBorder="1" applyAlignment="1">
      <alignment vertical="center" textRotation="255"/>
    </xf>
    <xf numFmtId="0" fontId="0" fillId="0" borderId="12" xfId="0" applyBorder="1" applyAlignment="1">
      <alignment horizontal="center" vertical="center"/>
    </xf>
    <xf numFmtId="0" fontId="0" fillId="0" borderId="23" xfId="0" applyBorder="1" applyAlignment="1">
      <alignment horizontal="center" vertical="center" wrapText="1"/>
    </xf>
    <xf numFmtId="179" fontId="0" fillId="0" borderId="24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9" xfId="0" applyBorder="1" applyAlignment="1">
      <alignment vertical="center" textRotation="255"/>
    </xf>
    <xf numFmtId="179" fontId="0" fillId="0" borderId="4" xfId="0" applyNumberFormat="1" applyBorder="1" applyAlignment="1">
      <alignment horizontal="center" vertical="center"/>
    </xf>
    <xf numFmtId="0" fontId="0" fillId="0" borderId="10" xfId="0" applyBorder="1" applyAlignment="1">
      <alignment vertical="center" textRotation="255"/>
    </xf>
    <xf numFmtId="0" fontId="0" fillId="0" borderId="6" xfId="0" applyBorder="1" applyAlignment="1">
      <alignment horizontal="center" vertical="center"/>
    </xf>
    <xf numFmtId="179" fontId="0" fillId="0" borderId="6" xfId="0" applyNumberForma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0" fillId="0" borderId="8" xfId="0" applyBorder="1" applyAlignment="1">
      <alignment vertical="center" textRotation="255"/>
    </xf>
    <xf numFmtId="0" fontId="0" fillId="0" borderId="1" xfId="0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13" xfId="0" applyBorder="1" applyAlignment="1">
      <alignment vertical="center" textRotation="255"/>
    </xf>
    <xf numFmtId="0" fontId="0" fillId="0" borderId="3" xfId="0" applyBorder="1" applyAlignment="1">
      <alignment horizontal="center" vertical="center"/>
    </xf>
    <xf numFmtId="179" fontId="0" fillId="0" borderId="3" xfId="0" applyNumberFormat="1" applyBorder="1" applyAlignment="1">
      <alignment horizontal="center" vertical="center"/>
    </xf>
    <xf numFmtId="0" fontId="0" fillId="0" borderId="45" xfId="0" applyBorder="1" applyAlignment="1">
      <alignment vertical="center" textRotation="255"/>
    </xf>
    <xf numFmtId="0" fontId="0" fillId="0" borderId="46" xfId="0" applyBorder="1" applyAlignment="1">
      <alignment horizontal="center" vertical="center"/>
    </xf>
    <xf numFmtId="179" fontId="0" fillId="0" borderId="36" xfId="0" applyNumberFormat="1" applyBorder="1" applyAlignment="1">
      <alignment horizontal="center" vertical="center"/>
    </xf>
    <xf numFmtId="179" fontId="0" fillId="0" borderId="30" xfId="0" applyNumberFormat="1" applyBorder="1" applyAlignment="1">
      <alignment vertical="center"/>
    </xf>
    <xf numFmtId="0" fontId="4" fillId="0" borderId="1" xfId="0" applyFont="1" applyBorder="1" applyAlignment="1">
      <alignment horizontal="center" vertical="center" shrinkToFit="1"/>
    </xf>
    <xf numFmtId="179" fontId="0" fillId="0" borderId="3" xfId="0" applyNumberFormat="1" applyBorder="1" applyAlignment="1">
      <alignment vertical="center"/>
    </xf>
    <xf numFmtId="179" fontId="0" fillId="0" borderId="47" xfId="0" applyNumberFormat="1" applyBorder="1" applyAlignment="1">
      <alignment vertical="center"/>
    </xf>
    <xf numFmtId="0" fontId="9" fillId="0" borderId="0" xfId="0" applyFont="1" applyAlignment="1">
      <alignment vertical="center"/>
    </xf>
    <xf numFmtId="179" fontId="0" fillId="0" borderId="4" xfId="0" applyNumberFormat="1" applyBorder="1" applyAlignment="1">
      <alignment vertical="center"/>
    </xf>
    <xf numFmtId="0" fontId="4" fillId="0" borderId="4" xfId="0" applyFon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179" fontId="0" fillId="2" borderId="24" xfId="0" applyNumberFormat="1" applyFill="1" applyBorder="1" applyAlignment="1">
      <alignment vertical="center"/>
    </xf>
    <xf numFmtId="0" fontId="4" fillId="0" borderId="6" xfId="0" applyFont="1" applyBorder="1" applyAlignment="1">
      <alignment horizontal="center" vertical="center" shrinkToFit="1"/>
    </xf>
    <xf numFmtId="179" fontId="0" fillId="0" borderId="6" xfId="0" applyNumberFormat="1" applyBorder="1" applyAlignment="1">
      <alignment vertical="center"/>
    </xf>
    <xf numFmtId="179" fontId="9" fillId="0" borderId="0" xfId="0" applyNumberFormat="1" applyFont="1" applyAlignment="1">
      <alignment vertical="center"/>
    </xf>
    <xf numFmtId="0" fontId="0" fillId="0" borderId="48" xfId="0" applyBorder="1" applyAlignment="1">
      <alignment vertical="center" textRotation="255" justifyLastLine="1"/>
    </xf>
    <xf numFmtId="0" fontId="0" fillId="0" borderId="1" xfId="0" applyBorder="1" applyAlignment="1">
      <alignment horizontal="center" vertical="distributed" textRotation="255" justifyLastLine="1"/>
    </xf>
    <xf numFmtId="0" fontId="0" fillId="0" borderId="1" xfId="0" applyBorder="1" applyAlignment="1">
      <alignment horizontal="center" vertical="center" shrinkToFit="1"/>
    </xf>
    <xf numFmtId="179" fontId="0" fillId="0" borderId="1" xfId="0" applyNumberFormat="1" applyBorder="1" applyAlignment="1">
      <alignment vertical="center"/>
    </xf>
    <xf numFmtId="0" fontId="4" fillId="0" borderId="49" xfId="0" applyFont="1" applyBorder="1" applyAlignment="1">
      <alignment vertical="center" textRotation="255" justifyLastLine="1"/>
    </xf>
    <xf numFmtId="0" fontId="4" fillId="0" borderId="4" xfId="0" applyFont="1" applyBorder="1" applyAlignment="1">
      <alignment horizontal="center" vertical="distributed" textRotation="255" justifyLastLine="1"/>
    </xf>
    <xf numFmtId="0" fontId="4" fillId="0" borderId="50" xfId="0" applyFont="1" applyBorder="1" applyAlignment="1">
      <alignment vertical="center" textRotation="255" justifyLastLine="1"/>
    </xf>
    <xf numFmtId="0" fontId="4" fillId="0" borderId="6" xfId="0" applyFont="1" applyBorder="1" applyAlignment="1">
      <alignment horizontal="center" vertical="distributed" textRotation="255" justifyLastLine="1"/>
    </xf>
    <xf numFmtId="0" fontId="0" fillId="0" borderId="49" xfId="0" applyBorder="1" applyAlignment="1">
      <alignment vertical="center" textRotation="255" justifyLastLine="1"/>
    </xf>
    <xf numFmtId="0" fontId="4" fillId="0" borderId="3" xfId="0" applyFont="1" applyBorder="1" applyAlignment="1">
      <alignment horizontal="center" vertical="distributed" textRotation="255" justifyLastLine="1"/>
    </xf>
    <xf numFmtId="0" fontId="4" fillId="0" borderId="14" xfId="0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distributed" textRotation="255" justifyLastLine="1"/>
    </xf>
    <xf numFmtId="0" fontId="0" fillId="0" borderId="5" xfId="0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4" fillId="0" borderId="7" xfId="0" applyFont="1" applyBorder="1" applyAlignment="1">
      <alignment horizontal="center" vertical="center" shrinkToFit="1"/>
    </xf>
    <xf numFmtId="179" fontId="0" fillId="0" borderId="38" xfId="0" applyNumberFormat="1" applyBorder="1" applyAlignment="1">
      <alignment vertical="center"/>
    </xf>
    <xf numFmtId="0" fontId="4" fillId="0" borderId="1" xfId="2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0" borderId="32" xfId="0" applyBorder="1" applyAlignment="1">
      <alignment vertical="center"/>
    </xf>
    <xf numFmtId="0" fontId="4" fillId="0" borderId="4" xfId="2" applyBorder="1" applyAlignment="1">
      <alignment horizontal="center" vertical="center" shrinkToFit="1"/>
    </xf>
    <xf numFmtId="0" fontId="0" fillId="0" borderId="5" xfId="0" applyBorder="1" applyAlignment="1">
      <alignment vertical="center" shrinkToFit="1"/>
    </xf>
    <xf numFmtId="0" fontId="0" fillId="0" borderId="26" xfId="2" applyFont="1" applyBorder="1" applyAlignment="1">
      <alignment horizontal="center" vertical="center" shrinkToFit="1"/>
    </xf>
    <xf numFmtId="0" fontId="4" fillId="0" borderId="3" xfId="2" applyBorder="1" applyAlignment="1">
      <alignment horizontal="center" vertical="center" shrinkToFit="1"/>
    </xf>
    <xf numFmtId="0" fontId="10" fillId="0" borderId="4" xfId="2" applyFont="1" applyBorder="1" applyAlignment="1">
      <alignment horizontal="center" vertical="center" shrinkToFit="1"/>
    </xf>
    <xf numFmtId="0" fontId="4" fillId="0" borderId="6" xfId="2" applyBorder="1" applyAlignment="1">
      <alignment horizontal="center" vertical="center" shrinkToFit="1"/>
    </xf>
    <xf numFmtId="0" fontId="0" fillId="0" borderId="7" xfId="0" applyBorder="1" applyAlignment="1">
      <alignment vertical="center" shrinkToFit="1"/>
    </xf>
    <xf numFmtId="0" fontId="4" fillId="0" borderId="9" xfId="0" applyFont="1" applyBorder="1" applyAlignment="1">
      <alignment vertical="center"/>
    </xf>
    <xf numFmtId="0" fontId="0" fillId="0" borderId="4" xfId="2" applyFont="1" applyBorder="1" applyAlignment="1">
      <alignment horizontal="center" vertical="center" shrinkToFit="1"/>
    </xf>
    <xf numFmtId="0" fontId="4" fillId="0" borderId="10" xfId="0" applyFont="1" applyBorder="1" applyAlignment="1">
      <alignment vertical="center"/>
    </xf>
    <xf numFmtId="0" fontId="0" fillId="0" borderId="1" xfId="2" applyFont="1" applyBorder="1" applyAlignment="1">
      <alignment horizontal="center" vertical="center" shrinkToFit="1"/>
    </xf>
    <xf numFmtId="0" fontId="4" fillId="0" borderId="46" xfId="0" applyFont="1" applyBorder="1" applyAlignment="1">
      <alignment horizontal="center" vertical="center" shrinkToFit="1"/>
    </xf>
    <xf numFmtId="0" fontId="4" fillId="0" borderId="5" xfId="2" applyBorder="1" applyAlignment="1">
      <alignment horizontal="center" vertical="center" shrinkToFit="1"/>
    </xf>
    <xf numFmtId="0" fontId="0" fillId="0" borderId="4" xfId="0" applyBorder="1" applyAlignment="1">
      <alignment vertical="center" shrinkToFit="1"/>
    </xf>
    <xf numFmtId="0" fontId="0" fillId="0" borderId="29" xfId="0" applyBorder="1" applyAlignment="1">
      <alignment vertical="center" shrinkToFit="1"/>
    </xf>
    <xf numFmtId="0" fontId="4" fillId="3" borderId="51" xfId="0" applyFont="1" applyFill="1" applyBorder="1" applyAlignment="1">
      <alignment horizontal="center" vertical="center" shrinkToFit="1"/>
    </xf>
    <xf numFmtId="38" fontId="11" fillId="0" borderId="52" xfId="1" applyFont="1" applyFill="1" applyBorder="1" applyAlignment="1">
      <alignment horizontal="center" vertical="center"/>
    </xf>
    <xf numFmtId="0" fontId="4" fillId="3" borderId="53" xfId="0" applyFont="1" applyFill="1" applyBorder="1" applyAlignment="1">
      <alignment horizontal="center" vertical="center" shrinkToFit="1"/>
    </xf>
    <xf numFmtId="38" fontId="4" fillId="0" borderId="54" xfId="1" applyFont="1" applyFill="1" applyBorder="1" applyAlignment="1">
      <alignment horizontal="center" vertical="center"/>
    </xf>
    <xf numFmtId="38" fontId="4" fillId="0" borderId="55" xfId="1" applyFont="1" applyFill="1" applyBorder="1" applyAlignment="1">
      <alignment horizontal="center" vertical="center"/>
    </xf>
    <xf numFmtId="0" fontId="0" fillId="3" borderId="53" xfId="0" applyFill="1" applyBorder="1" applyAlignment="1">
      <alignment horizontal="center" vertical="center"/>
    </xf>
    <xf numFmtId="0" fontId="12" fillId="0" borderId="56" xfId="0" applyFont="1" applyFill="1" applyBorder="1" applyAlignment="1">
      <alignment horizontal="right" vertical="center"/>
    </xf>
    <xf numFmtId="0" fontId="13" fillId="0" borderId="56" xfId="0" applyFont="1" applyFill="1" applyBorder="1" applyAlignment="1">
      <alignment horizontal="right" vertical="center"/>
    </xf>
    <xf numFmtId="0" fontId="12" fillId="0" borderId="54" xfId="0" applyFont="1" applyFill="1" applyBorder="1" applyAlignment="1">
      <alignment horizontal="right"/>
    </xf>
    <xf numFmtId="0" fontId="12" fillId="0" borderId="56" xfId="0" applyFont="1" applyFill="1" applyBorder="1" applyAlignment="1">
      <alignment horizontal="right"/>
    </xf>
    <xf numFmtId="0" fontId="12" fillId="0" borderId="53" xfId="0" applyFont="1" applyFill="1" applyBorder="1" applyAlignment="1">
      <alignment horizontal="right"/>
    </xf>
    <xf numFmtId="0" fontId="12" fillId="0" borderId="56" xfId="0" applyFont="1" applyFill="1" applyBorder="1" applyAlignment="1">
      <alignment horizontal="right" vertical="center" shrinkToFit="1"/>
    </xf>
    <xf numFmtId="49" fontId="12" fillId="0" borderId="56" xfId="0" applyNumberFormat="1" applyFont="1" applyFill="1" applyBorder="1" applyAlignment="1">
      <alignment horizontal="right" vertical="center"/>
    </xf>
    <xf numFmtId="179" fontId="12" fillId="0" borderId="56" xfId="1" applyNumberFormat="1" applyFont="1" applyFill="1" applyBorder="1" applyAlignment="1">
      <alignment horizontal="right" vertical="center"/>
    </xf>
    <xf numFmtId="179" fontId="12" fillId="0" borderId="56" xfId="0" applyNumberFormat="1" applyFont="1" applyFill="1" applyBorder="1" applyAlignment="1">
      <alignment horizontal="right" vertical="center"/>
    </xf>
    <xf numFmtId="0" fontId="13" fillId="0" borderId="53" xfId="0" applyFont="1" applyFill="1" applyBorder="1" applyAlignment="1">
      <alignment horizontal="right" vertical="center"/>
    </xf>
    <xf numFmtId="0" fontId="13" fillId="0" borderId="56" xfId="0" applyFont="1" applyFill="1" applyBorder="1" applyAlignment="1">
      <alignment horizontal="right" vertical="center" shrinkToFit="1"/>
    </xf>
    <xf numFmtId="0" fontId="14" fillId="0" borderId="53" xfId="0" applyFont="1" applyFill="1" applyBorder="1" applyAlignment="1">
      <alignment horizontal="right" vertical="center"/>
    </xf>
    <xf numFmtId="179" fontId="13" fillId="0" borderId="53" xfId="0" applyNumberFormat="1" applyFont="1" applyFill="1" applyBorder="1" applyAlignment="1">
      <alignment horizontal="right" vertical="center"/>
    </xf>
    <xf numFmtId="180" fontId="13" fillId="0" borderId="53" xfId="0" applyNumberFormat="1" applyFont="1" applyFill="1" applyBorder="1" applyAlignment="1">
      <alignment horizontal="right" vertical="center"/>
    </xf>
    <xf numFmtId="0" fontId="12" fillId="0" borderId="53" xfId="0" applyFont="1" applyFill="1" applyBorder="1" applyAlignment="1">
      <alignment horizontal="right" vertical="center"/>
    </xf>
    <xf numFmtId="0" fontId="12" fillId="0" borderId="56" xfId="0" applyFont="1" applyFill="1" applyBorder="1" applyAlignment="1">
      <alignment horizontal="right" vertical="center" wrapText="1"/>
    </xf>
    <xf numFmtId="179" fontId="12" fillId="0" borderId="53" xfId="0" applyNumberFormat="1" applyFont="1" applyFill="1" applyBorder="1" applyAlignment="1">
      <alignment horizontal="right" vertical="center"/>
    </xf>
    <xf numFmtId="49" fontId="12" fillId="0" borderId="56" xfId="0" applyNumberFormat="1" applyFont="1" applyFill="1" applyBorder="1" applyAlignment="1">
      <alignment horizontal="right" vertical="center" shrinkToFit="1"/>
    </xf>
    <xf numFmtId="0" fontId="12" fillId="0" borderId="56" xfId="0" applyFont="1" applyFill="1" applyBorder="1" applyAlignment="1">
      <alignment horizontal="right" vertical="center" justifyLastLine="1"/>
    </xf>
    <xf numFmtId="0" fontId="12" fillId="0" borderId="56" xfId="0" applyFont="1" applyFill="1" applyBorder="1" applyAlignment="1">
      <alignment horizontal="right" vertical="distributed" justifyLastLine="1"/>
    </xf>
    <xf numFmtId="0" fontId="13" fillId="0" borderId="56" xfId="0" applyFont="1" applyFill="1" applyBorder="1" applyAlignment="1">
      <alignment horizontal="right" vertical="center" justifyLastLine="1"/>
    </xf>
    <xf numFmtId="0" fontId="13" fillId="0" borderId="56" xfId="0" applyFont="1" applyFill="1" applyBorder="1" applyAlignment="1">
      <alignment horizontal="right" vertical="distributed" justifyLastLine="1"/>
    </xf>
    <xf numFmtId="0" fontId="13" fillId="0" borderId="56" xfId="2" applyFont="1" applyFill="1" applyBorder="1" applyAlignment="1">
      <alignment horizontal="right" vertical="center" shrinkToFit="1"/>
    </xf>
    <xf numFmtId="0" fontId="12" fillId="0" borderId="56" xfId="2" applyFont="1" applyFill="1" applyBorder="1" applyAlignment="1">
      <alignment horizontal="right" vertical="center" shrinkToFit="1"/>
    </xf>
    <xf numFmtId="0" fontId="15" fillId="0" borderId="56" xfId="2" applyFont="1" applyFill="1" applyBorder="1" applyAlignment="1">
      <alignment horizontal="right" vertical="center" shrinkToFit="1"/>
    </xf>
    <xf numFmtId="38" fontId="16" fillId="0" borderId="56" xfId="1" applyFont="1" applyFill="1" applyBorder="1" applyAlignment="1">
      <alignment horizontal="right" vertical="center"/>
    </xf>
    <xf numFmtId="38" fontId="13" fillId="0" borderId="56" xfId="1" applyFont="1" applyFill="1" applyBorder="1" applyAlignment="1">
      <alignment horizontal="right" vertical="center"/>
    </xf>
    <xf numFmtId="0" fontId="12" fillId="4" borderId="54" xfId="0" applyFont="1" applyFill="1" applyBorder="1" applyAlignment="1">
      <alignment horizontal="right"/>
    </xf>
    <xf numFmtId="0" fontId="12" fillId="4" borderId="56" xfId="0" applyFont="1" applyFill="1" applyBorder="1" applyAlignment="1">
      <alignment horizontal="right"/>
    </xf>
    <xf numFmtId="0" fontId="12" fillId="4" borderId="53" xfId="0" applyFont="1" applyFill="1" applyBorder="1" applyAlignment="1">
      <alignment horizontal="right"/>
    </xf>
    <xf numFmtId="179" fontId="0" fillId="0" borderId="0" xfId="0" applyNumberFormat="1"/>
    <xf numFmtId="38" fontId="12" fillId="0" borderId="56" xfId="0" applyNumberFormat="1" applyFont="1" applyFill="1" applyBorder="1" applyAlignment="1">
      <alignment horizontal="right" vertical="center"/>
    </xf>
    <xf numFmtId="179" fontId="12" fillId="0" borderId="54" xfId="0" applyNumberFormat="1" applyFont="1" applyFill="1" applyBorder="1" applyAlignment="1">
      <alignment horizontal="right"/>
    </xf>
    <xf numFmtId="179" fontId="12" fillId="0" borderId="53" xfId="0" applyNumberFormat="1" applyFont="1" applyFill="1" applyBorder="1" applyAlignment="1">
      <alignment horizontal="right"/>
    </xf>
  </cellXfs>
  <cellStyles count="3">
    <cellStyle name="桁区切り" xfId="1" builtinId="6"/>
    <cellStyle name="標準" xfId="0" builtinId="0"/>
    <cellStyle name="標準_総務・税務" xfId="2" xr:uid="{E8390CD6-7D49-47CF-BE20-C65A1F135A3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9A975-DBD1-4E36-BF80-3D2344440EE3}">
  <sheetPr codeName="Sheet2"/>
  <dimension ref="A1:G265"/>
  <sheetViews>
    <sheetView topLeftCell="A213" zoomScale="85" zoomScaleNormal="85" workbookViewId="0">
      <selection activeCell="I256" sqref="I256"/>
    </sheetView>
  </sheetViews>
  <sheetFormatPr defaultRowHeight="18.75"/>
  <cols>
    <col min="4" max="4" width="17.25" bestFit="1" customWidth="1"/>
    <col min="7" max="7" width="31.5" bestFit="1" customWidth="1"/>
  </cols>
  <sheetData>
    <row r="1" spans="1:7" ht="19.5" thickBot="1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7" ht="19.5" thickBot="1">
      <c r="A2" t="s">
        <v>5</v>
      </c>
      <c r="B2" s="2" t="s">
        <v>150</v>
      </c>
      <c r="C2" s="1" t="s">
        <v>6</v>
      </c>
      <c r="D2" s="2" t="s">
        <v>7</v>
      </c>
      <c r="E2" s="3">
        <v>270</v>
      </c>
      <c r="F2" s="40">
        <f>SUM(E2+1)</f>
        <v>271</v>
      </c>
      <c r="G2" s="41"/>
    </row>
    <row r="3" spans="1:7" ht="19.5" thickBot="1">
      <c r="A3" t="str">
        <f>A2</f>
        <v>山鹿地域</v>
      </c>
      <c r="B3" s="2" t="str">
        <f t="shared" ref="B3:B30" si="0">B2</f>
        <v>山鹿地区</v>
      </c>
      <c r="C3" s="4" t="s">
        <v>8</v>
      </c>
      <c r="D3" s="5" t="s">
        <v>9</v>
      </c>
      <c r="E3" s="6">
        <v>400</v>
      </c>
      <c r="F3" s="42">
        <f t="shared" ref="F3:F68" si="1">SUM(E3+1)</f>
        <v>401</v>
      </c>
      <c r="G3" s="41"/>
    </row>
    <row r="4" spans="1:7" ht="19.5" thickBot="1">
      <c r="A4" t="str">
        <f t="shared" ref="A4:B67" si="2">A3</f>
        <v>山鹿地域</v>
      </c>
      <c r="B4" s="2" t="str">
        <f t="shared" si="0"/>
        <v>山鹿地区</v>
      </c>
      <c r="C4" s="7">
        <v>2</v>
      </c>
      <c r="D4" s="8" t="s">
        <v>10</v>
      </c>
      <c r="E4" s="6">
        <v>112</v>
      </c>
      <c r="F4" s="43">
        <f t="shared" si="1"/>
        <v>113</v>
      </c>
      <c r="G4" s="41"/>
    </row>
    <row r="5" spans="1:7" ht="19.5" thickBot="1">
      <c r="A5" t="str">
        <f t="shared" si="2"/>
        <v>山鹿地域</v>
      </c>
      <c r="B5" s="2" t="str">
        <f t="shared" si="0"/>
        <v>山鹿地区</v>
      </c>
      <c r="C5" s="7">
        <v>3</v>
      </c>
      <c r="D5" s="8" t="s">
        <v>11</v>
      </c>
      <c r="E5" s="6">
        <v>152</v>
      </c>
      <c r="F5" s="43">
        <f t="shared" si="1"/>
        <v>153</v>
      </c>
      <c r="G5" s="41"/>
    </row>
    <row r="6" spans="1:7" ht="19.5" thickBot="1">
      <c r="A6" t="str">
        <f t="shared" si="2"/>
        <v>山鹿地域</v>
      </c>
      <c r="B6" s="2" t="str">
        <f t="shared" si="0"/>
        <v>山鹿地区</v>
      </c>
      <c r="C6" s="4">
        <v>4</v>
      </c>
      <c r="D6" s="5" t="s">
        <v>12</v>
      </c>
      <c r="E6" s="6">
        <v>40</v>
      </c>
      <c r="F6" s="42">
        <f t="shared" si="1"/>
        <v>41</v>
      </c>
      <c r="G6" s="44"/>
    </row>
    <row r="7" spans="1:7" ht="19.5" thickBot="1">
      <c r="A7" t="str">
        <f t="shared" si="2"/>
        <v>山鹿地域</v>
      </c>
      <c r="B7" s="2" t="str">
        <f t="shared" si="0"/>
        <v>山鹿地区</v>
      </c>
      <c r="C7" s="7">
        <v>5</v>
      </c>
      <c r="D7" s="5" t="s">
        <v>13</v>
      </c>
      <c r="E7" s="6">
        <v>165</v>
      </c>
      <c r="F7" s="42">
        <f t="shared" si="1"/>
        <v>166</v>
      </c>
      <c r="G7" s="41"/>
    </row>
    <row r="8" spans="1:7" ht="19.5" thickBot="1">
      <c r="A8" t="str">
        <f t="shared" si="2"/>
        <v>山鹿地域</v>
      </c>
      <c r="B8" s="2" t="str">
        <f t="shared" si="0"/>
        <v>山鹿地区</v>
      </c>
      <c r="C8" s="7">
        <v>6</v>
      </c>
      <c r="D8" s="8" t="s">
        <v>14</v>
      </c>
      <c r="E8" s="6">
        <v>163</v>
      </c>
      <c r="F8" s="43">
        <f t="shared" si="1"/>
        <v>164</v>
      </c>
      <c r="G8" s="41"/>
    </row>
    <row r="9" spans="1:7" ht="19.5" thickBot="1">
      <c r="A9" t="str">
        <f t="shared" si="2"/>
        <v>山鹿地域</v>
      </c>
      <c r="B9" s="2" t="str">
        <f t="shared" si="0"/>
        <v>山鹿地区</v>
      </c>
      <c r="C9" s="7">
        <v>7</v>
      </c>
      <c r="D9" s="8" t="s">
        <v>15</v>
      </c>
      <c r="E9" s="6">
        <v>32</v>
      </c>
      <c r="F9" s="43">
        <f t="shared" si="1"/>
        <v>33</v>
      </c>
      <c r="G9" s="41"/>
    </row>
    <row r="10" spans="1:7" ht="19.5" thickBot="1">
      <c r="A10" t="str">
        <f t="shared" si="2"/>
        <v>山鹿地域</v>
      </c>
      <c r="B10" s="2" t="str">
        <f t="shared" si="0"/>
        <v>山鹿地区</v>
      </c>
      <c r="C10" s="7">
        <v>8</v>
      </c>
      <c r="D10" s="8" t="s">
        <v>16</v>
      </c>
      <c r="E10" s="6">
        <v>65</v>
      </c>
      <c r="F10" s="43">
        <f t="shared" si="1"/>
        <v>66</v>
      </c>
      <c r="G10" s="41"/>
    </row>
    <row r="11" spans="1:7" ht="19.5" thickBot="1">
      <c r="A11" t="str">
        <f t="shared" si="2"/>
        <v>山鹿地域</v>
      </c>
      <c r="B11" s="2" t="str">
        <f t="shared" si="0"/>
        <v>山鹿地区</v>
      </c>
      <c r="C11" s="7">
        <v>9</v>
      </c>
      <c r="D11" s="8" t="s">
        <v>17</v>
      </c>
      <c r="E11" s="6">
        <v>101</v>
      </c>
      <c r="F11" s="43">
        <f t="shared" si="1"/>
        <v>102</v>
      </c>
      <c r="G11" s="41"/>
    </row>
    <row r="12" spans="1:7" ht="19.5" thickBot="1">
      <c r="A12" t="str">
        <f t="shared" si="2"/>
        <v>山鹿地域</v>
      </c>
      <c r="B12" s="2" t="str">
        <f t="shared" si="0"/>
        <v>山鹿地区</v>
      </c>
      <c r="C12" s="7">
        <v>10</v>
      </c>
      <c r="D12" s="8" t="s">
        <v>18</v>
      </c>
      <c r="E12" s="6">
        <v>43</v>
      </c>
      <c r="F12" s="43">
        <f t="shared" si="1"/>
        <v>44</v>
      </c>
      <c r="G12" s="41"/>
    </row>
    <row r="13" spans="1:7" ht="19.5" thickBot="1">
      <c r="A13" t="str">
        <f t="shared" si="2"/>
        <v>山鹿地域</v>
      </c>
      <c r="B13" s="2" t="str">
        <f t="shared" si="0"/>
        <v>山鹿地区</v>
      </c>
      <c r="C13" s="7">
        <v>12</v>
      </c>
      <c r="D13" s="5" t="s">
        <v>19</v>
      </c>
      <c r="E13" s="6">
        <v>125</v>
      </c>
      <c r="F13" s="42">
        <f t="shared" si="1"/>
        <v>126</v>
      </c>
      <c r="G13" s="41"/>
    </row>
    <row r="14" spans="1:7" ht="19.5" thickBot="1">
      <c r="A14" t="str">
        <f t="shared" si="2"/>
        <v>山鹿地域</v>
      </c>
      <c r="B14" s="2" t="str">
        <f t="shared" si="0"/>
        <v>山鹿地区</v>
      </c>
      <c r="C14" s="7">
        <v>13</v>
      </c>
      <c r="D14" s="5" t="s">
        <v>20</v>
      </c>
      <c r="E14" s="6">
        <v>40</v>
      </c>
      <c r="F14" s="42">
        <f t="shared" si="1"/>
        <v>41</v>
      </c>
      <c r="G14" s="41"/>
    </row>
    <row r="15" spans="1:7" ht="19.5" thickBot="1">
      <c r="A15" t="str">
        <f t="shared" si="2"/>
        <v>山鹿地域</v>
      </c>
      <c r="B15" s="2" t="str">
        <f t="shared" si="0"/>
        <v>山鹿地区</v>
      </c>
      <c r="C15" s="7">
        <v>14</v>
      </c>
      <c r="D15" s="5" t="s">
        <v>21</v>
      </c>
      <c r="E15" s="6">
        <v>56</v>
      </c>
      <c r="F15" s="42">
        <f t="shared" si="1"/>
        <v>57</v>
      </c>
      <c r="G15" s="41"/>
    </row>
    <row r="16" spans="1:7" ht="19.5" thickBot="1">
      <c r="A16" t="str">
        <f t="shared" si="2"/>
        <v>山鹿地域</v>
      </c>
      <c r="B16" s="2" t="str">
        <f t="shared" si="0"/>
        <v>山鹿地区</v>
      </c>
      <c r="C16" s="7">
        <v>15</v>
      </c>
      <c r="D16" s="8" t="s">
        <v>22</v>
      </c>
      <c r="E16" s="6">
        <v>61</v>
      </c>
      <c r="F16" s="43">
        <f t="shared" si="1"/>
        <v>62</v>
      </c>
      <c r="G16" s="41"/>
    </row>
    <row r="17" spans="1:7" ht="19.5" thickBot="1">
      <c r="A17" t="str">
        <f t="shared" si="2"/>
        <v>山鹿地域</v>
      </c>
      <c r="B17" s="2" t="str">
        <f t="shared" si="0"/>
        <v>山鹿地区</v>
      </c>
      <c r="C17" s="7">
        <v>16</v>
      </c>
      <c r="D17" s="8" t="s">
        <v>23</v>
      </c>
      <c r="E17" s="6">
        <v>64</v>
      </c>
      <c r="F17" s="43">
        <f t="shared" si="1"/>
        <v>65</v>
      </c>
      <c r="G17" s="41"/>
    </row>
    <row r="18" spans="1:7" ht="19.5" thickBot="1">
      <c r="A18" t="str">
        <f t="shared" si="2"/>
        <v>山鹿地域</v>
      </c>
      <c r="B18" s="2" t="str">
        <f t="shared" si="0"/>
        <v>山鹿地区</v>
      </c>
      <c r="C18" s="7">
        <v>17</v>
      </c>
      <c r="D18" s="8" t="s">
        <v>24</v>
      </c>
      <c r="E18" s="6">
        <v>80</v>
      </c>
      <c r="F18" s="43">
        <f t="shared" si="1"/>
        <v>81</v>
      </c>
      <c r="G18" s="41"/>
    </row>
    <row r="19" spans="1:7" ht="19.5" thickBot="1">
      <c r="A19" t="str">
        <f t="shared" si="2"/>
        <v>山鹿地域</v>
      </c>
      <c r="B19" s="2" t="str">
        <f t="shared" si="0"/>
        <v>山鹿地区</v>
      </c>
      <c r="C19" s="7">
        <v>18</v>
      </c>
      <c r="D19" s="8" t="s">
        <v>25</v>
      </c>
      <c r="E19" s="3">
        <v>96</v>
      </c>
      <c r="F19" s="43">
        <f t="shared" si="1"/>
        <v>97</v>
      </c>
      <c r="G19" s="41"/>
    </row>
    <row r="20" spans="1:7" ht="19.5" thickBot="1">
      <c r="A20" t="str">
        <f t="shared" si="2"/>
        <v>山鹿地域</v>
      </c>
      <c r="B20" s="2" t="str">
        <f t="shared" si="0"/>
        <v>山鹿地区</v>
      </c>
      <c r="C20" s="7">
        <v>19</v>
      </c>
      <c r="D20" s="8" t="s">
        <v>26</v>
      </c>
      <c r="E20" s="6">
        <v>70</v>
      </c>
      <c r="F20" s="43">
        <f t="shared" si="1"/>
        <v>71</v>
      </c>
      <c r="G20" s="41"/>
    </row>
    <row r="21" spans="1:7" ht="19.5" thickBot="1">
      <c r="A21" t="str">
        <f t="shared" si="2"/>
        <v>山鹿地域</v>
      </c>
      <c r="B21" s="2" t="str">
        <f t="shared" si="0"/>
        <v>山鹿地区</v>
      </c>
      <c r="C21" s="7">
        <v>20</v>
      </c>
      <c r="D21" s="8" t="s">
        <v>27</v>
      </c>
      <c r="E21" s="6">
        <v>11</v>
      </c>
      <c r="F21" s="43">
        <f t="shared" si="1"/>
        <v>12</v>
      </c>
      <c r="G21" s="41"/>
    </row>
    <row r="22" spans="1:7" ht="19.5" thickBot="1">
      <c r="A22" t="str">
        <f t="shared" si="2"/>
        <v>山鹿地域</v>
      </c>
      <c r="B22" s="2" t="str">
        <f t="shared" si="0"/>
        <v>山鹿地区</v>
      </c>
      <c r="C22" s="7">
        <v>21</v>
      </c>
      <c r="D22" s="8" t="s">
        <v>28</v>
      </c>
      <c r="E22" s="6">
        <v>28</v>
      </c>
      <c r="F22" s="43">
        <f t="shared" si="1"/>
        <v>29</v>
      </c>
      <c r="G22" s="41"/>
    </row>
    <row r="23" spans="1:7" ht="19.5" thickBot="1">
      <c r="A23" t="str">
        <f t="shared" si="2"/>
        <v>山鹿地域</v>
      </c>
      <c r="B23" s="2" t="str">
        <f t="shared" si="0"/>
        <v>山鹿地区</v>
      </c>
      <c r="C23" s="9">
        <v>22</v>
      </c>
      <c r="D23" s="10" t="s">
        <v>29</v>
      </c>
      <c r="E23" s="6">
        <v>385</v>
      </c>
      <c r="F23" s="43">
        <f t="shared" si="1"/>
        <v>386</v>
      </c>
      <c r="G23" s="41"/>
    </row>
    <row r="24" spans="1:7" ht="19.5" thickBot="1">
      <c r="A24" t="str">
        <f t="shared" si="2"/>
        <v>山鹿地域</v>
      </c>
      <c r="B24" s="2" t="str">
        <f t="shared" si="0"/>
        <v>山鹿地区</v>
      </c>
      <c r="C24" s="7">
        <v>23</v>
      </c>
      <c r="D24" s="8" t="s">
        <v>30</v>
      </c>
      <c r="E24" s="6">
        <v>180</v>
      </c>
      <c r="F24" s="43">
        <f t="shared" si="1"/>
        <v>181</v>
      </c>
      <c r="G24" s="41"/>
    </row>
    <row r="25" spans="1:7" ht="19.5" thickBot="1">
      <c r="A25" t="str">
        <f t="shared" si="2"/>
        <v>山鹿地域</v>
      </c>
      <c r="B25" s="2" t="str">
        <f t="shared" si="0"/>
        <v>山鹿地区</v>
      </c>
      <c r="C25" s="7">
        <v>24</v>
      </c>
      <c r="D25" s="8" t="s">
        <v>31</v>
      </c>
      <c r="E25" s="6">
        <v>136</v>
      </c>
      <c r="F25" s="43">
        <f t="shared" si="1"/>
        <v>137</v>
      </c>
      <c r="G25" s="41"/>
    </row>
    <row r="26" spans="1:7" ht="19.5" thickBot="1">
      <c r="A26" t="str">
        <f t="shared" si="2"/>
        <v>山鹿地域</v>
      </c>
      <c r="B26" s="2" t="str">
        <f t="shared" si="0"/>
        <v>山鹿地区</v>
      </c>
      <c r="C26" s="7">
        <v>25</v>
      </c>
      <c r="D26" s="8" t="s">
        <v>32</v>
      </c>
      <c r="E26" s="6">
        <v>267</v>
      </c>
      <c r="F26" s="43">
        <f t="shared" si="1"/>
        <v>268</v>
      </c>
      <c r="G26" s="41"/>
    </row>
    <row r="27" spans="1:7" ht="19.5" thickBot="1">
      <c r="A27" t="str">
        <f t="shared" si="2"/>
        <v>山鹿地域</v>
      </c>
      <c r="B27" s="2" t="str">
        <f t="shared" si="0"/>
        <v>山鹿地区</v>
      </c>
      <c r="C27" s="7">
        <v>26</v>
      </c>
      <c r="D27" s="5" t="s">
        <v>33</v>
      </c>
      <c r="E27" s="6">
        <v>140</v>
      </c>
      <c r="F27" s="42">
        <f t="shared" si="1"/>
        <v>141</v>
      </c>
      <c r="G27" s="41"/>
    </row>
    <row r="28" spans="1:7" ht="19.5" thickBot="1">
      <c r="A28" t="str">
        <f t="shared" si="2"/>
        <v>山鹿地域</v>
      </c>
      <c r="B28" s="2" t="str">
        <f t="shared" si="0"/>
        <v>山鹿地区</v>
      </c>
      <c r="C28" s="7">
        <v>27</v>
      </c>
      <c r="D28" s="5" t="s">
        <v>34</v>
      </c>
      <c r="E28" s="6">
        <v>171</v>
      </c>
      <c r="F28" s="42">
        <f t="shared" si="1"/>
        <v>172</v>
      </c>
      <c r="G28" s="41"/>
    </row>
    <row r="29" spans="1:7" ht="19.5" thickBot="1">
      <c r="A29" t="str">
        <f t="shared" si="2"/>
        <v>山鹿地域</v>
      </c>
      <c r="B29" s="2" t="str">
        <f t="shared" si="0"/>
        <v>山鹿地区</v>
      </c>
      <c r="C29" s="7">
        <v>28</v>
      </c>
      <c r="D29" s="5" t="s">
        <v>35</v>
      </c>
      <c r="E29" s="6">
        <v>61</v>
      </c>
      <c r="F29" s="42">
        <f t="shared" si="1"/>
        <v>62</v>
      </c>
      <c r="G29" s="41"/>
    </row>
    <row r="30" spans="1:7" ht="19.5" thickBot="1">
      <c r="A30" t="str">
        <f t="shared" si="2"/>
        <v>山鹿地域</v>
      </c>
      <c r="B30" s="2" t="str">
        <f t="shared" si="0"/>
        <v>山鹿地区</v>
      </c>
      <c r="C30" s="11">
        <v>29</v>
      </c>
      <c r="D30" s="12" t="s">
        <v>36</v>
      </c>
      <c r="E30" s="13">
        <v>335</v>
      </c>
      <c r="F30" s="45">
        <f t="shared" si="1"/>
        <v>336</v>
      </c>
      <c r="G30" s="46">
        <f>SUM(F2:F30)</f>
        <v>3878</v>
      </c>
    </row>
    <row r="31" spans="1:7" ht="19.5" thickBot="1">
      <c r="A31" t="str">
        <f t="shared" si="2"/>
        <v>山鹿地域</v>
      </c>
      <c r="B31" s="2" t="s">
        <v>37</v>
      </c>
      <c r="C31" s="14">
        <v>2</v>
      </c>
      <c r="D31" s="2" t="s">
        <v>38</v>
      </c>
      <c r="E31" s="15">
        <v>64</v>
      </c>
      <c r="F31" s="47">
        <f t="shared" si="1"/>
        <v>65</v>
      </c>
      <c r="G31" s="41"/>
    </row>
    <row r="32" spans="1:7" ht="19.5" thickBot="1">
      <c r="A32" t="str">
        <f t="shared" si="2"/>
        <v>山鹿地域</v>
      </c>
      <c r="B32" s="2" t="str">
        <f t="shared" si="2"/>
        <v>米田地区</v>
      </c>
      <c r="C32" s="7">
        <v>5</v>
      </c>
      <c r="D32" s="5" t="s">
        <v>39</v>
      </c>
      <c r="E32" s="6">
        <v>91</v>
      </c>
      <c r="F32" s="42">
        <f t="shared" si="1"/>
        <v>92</v>
      </c>
      <c r="G32" s="41"/>
    </row>
    <row r="33" spans="1:7" ht="19.5" thickBot="1">
      <c r="A33" t="str">
        <f t="shared" si="2"/>
        <v>山鹿地域</v>
      </c>
      <c r="B33" s="2" t="str">
        <f t="shared" si="2"/>
        <v>米田地区</v>
      </c>
      <c r="C33" s="7">
        <v>6</v>
      </c>
      <c r="D33" s="5" t="s">
        <v>40</v>
      </c>
      <c r="E33" s="6">
        <v>109</v>
      </c>
      <c r="F33" s="42">
        <f t="shared" si="1"/>
        <v>110</v>
      </c>
      <c r="G33" s="41"/>
    </row>
    <row r="34" spans="1:7" ht="19.5" thickBot="1">
      <c r="A34" t="str">
        <f t="shared" si="2"/>
        <v>山鹿地域</v>
      </c>
      <c r="B34" s="2" t="str">
        <f t="shared" si="2"/>
        <v>米田地区</v>
      </c>
      <c r="C34" s="9">
        <v>9</v>
      </c>
      <c r="D34" s="17" t="s">
        <v>41</v>
      </c>
      <c r="E34" s="6">
        <v>33</v>
      </c>
      <c r="F34" s="42">
        <f t="shared" si="1"/>
        <v>34</v>
      </c>
      <c r="G34" s="41"/>
    </row>
    <row r="35" spans="1:7" ht="19.5" thickBot="1">
      <c r="A35" t="str">
        <f t="shared" si="2"/>
        <v>山鹿地域</v>
      </c>
      <c r="B35" s="2" t="str">
        <f t="shared" si="2"/>
        <v>米田地区</v>
      </c>
      <c r="C35" s="9">
        <v>10</v>
      </c>
      <c r="D35" s="17" t="s">
        <v>42</v>
      </c>
      <c r="E35" s="6">
        <v>107</v>
      </c>
      <c r="F35" s="42">
        <f t="shared" si="1"/>
        <v>108</v>
      </c>
      <c r="G35" s="41"/>
    </row>
    <row r="36" spans="1:7" ht="19.5" thickBot="1">
      <c r="A36" t="str">
        <f t="shared" si="2"/>
        <v>山鹿地域</v>
      </c>
      <c r="B36" s="2" t="str">
        <f t="shared" si="2"/>
        <v>米田地区</v>
      </c>
      <c r="C36" s="4">
        <v>11</v>
      </c>
      <c r="D36" s="5" t="s">
        <v>43</v>
      </c>
      <c r="E36" s="6">
        <v>156</v>
      </c>
      <c r="F36" s="42">
        <f t="shared" si="1"/>
        <v>157</v>
      </c>
      <c r="G36" s="41"/>
    </row>
    <row r="37" spans="1:7" ht="19.5" thickBot="1">
      <c r="A37" t="str">
        <f t="shared" si="2"/>
        <v>山鹿地域</v>
      </c>
      <c r="B37" s="2" t="str">
        <f t="shared" si="2"/>
        <v>米田地区</v>
      </c>
      <c r="C37" s="9">
        <v>12</v>
      </c>
      <c r="D37" s="10" t="s">
        <v>44</v>
      </c>
      <c r="E37" s="6">
        <v>38</v>
      </c>
      <c r="F37" s="43">
        <f t="shared" si="1"/>
        <v>39</v>
      </c>
      <c r="G37" s="41"/>
    </row>
    <row r="38" spans="1:7" ht="19.5" thickBot="1">
      <c r="A38" t="str">
        <f t="shared" si="2"/>
        <v>山鹿地域</v>
      </c>
      <c r="B38" s="2" t="str">
        <f t="shared" si="2"/>
        <v>米田地区</v>
      </c>
      <c r="C38" s="9">
        <v>13</v>
      </c>
      <c r="D38" s="10" t="s">
        <v>45</v>
      </c>
      <c r="E38" s="6">
        <v>44</v>
      </c>
      <c r="F38" s="43">
        <f t="shared" si="1"/>
        <v>45</v>
      </c>
      <c r="G38" s="41"/>
    </row>
    <row r="39" spans="1:7" ht="19.5" thickBot="1">
      <c r="A39" t="str">
        <f t="shared" si="2"/>
        <v>山鹿地域</v>
      </c>
      <c r="B39" s="2" t="str">
        <f t="shared" si="2"/>
        <v>米田地区</v>
      </c>
      <c r="C39" s="9">
        <v>14</v>
      </c>
      <c r="D39" s="10" t="s">
        <v>46</v>
      </c>
      <c r="E39" s="6">
        <v>54</v>
      </c>
      <c r="F39" s="43">
        <f t="shared" si="1"/>
        <v>55</v>
      </c>
      <c r="G39" s="41"/>
    </row>
    <row r="40" spans="1:7" ht="19.5" thickBot="1">
      <c r="A40" t="str">
        <f t="shared" si="2"/>
        <v>山鹿地域</v>
      </c>
      <c r="B40" s="2" t="str">
        <f t="shared" si="2"/>
        <v>米田地区</v>
      </c>
      <c r="C40" s="9">
        <v>15</v>
      </c>
      <c r="D40" s="10" t="s">
        <v>47</v>
      </c>
      <c r="E40" s="6">
        <v>36</v>
      </c>
      <c r="F40" s="43">
        <f t="shared" si="1"/>
        <v>37</v>
      </c>
      <c r="G40" s="41"/>
    </row>
    <row r="41" spans="1:7" ht="19.5" thickBot="1">
      <c r="A41" t="str">
        <f t="shared" si="2"/>
        <v>山鹿地域</v>
      </c>
      <c r="B41" s="2" t="str">
        <f t="shared" si="2"/>
        <v>米田地区</v>
      </c>
      <c r="C41" s="11">
        <v>16</v>
      </c>
      <c r="D41" s="19" t="s">
        <v>48</v>
      </c>
      <c r="E41" s="20">
        <v>60</v>
      </c>
      <c r="F41" s="48">
        <f t="shared" si="1"/>
        <v>61</v>
      </c>
      <c r="G41" s="46">
        <f>SUM(F31:F41)</f>
        <v>803</v>
      </c>
    </row>
    <row r="42" spans="1:7" ht="19.5" thickBot="1">
      <c r="A42" t="str">
        <f t="shared" si="2"/>
        <v>山鹿地域</v>
      </c>
      <c r="B42" s="2" t="s">
        <v>49</v>
      </c>
      <c r="C42" s="14">
        <v>1</v>
      </c>
      <c r="D42" s="21" t="s">
        <v>50</v>
      </c>
      <c r="E42" s="22">
        <v>15</v>
      </c>
      <c r="F42" s="49">
        <f t="shared" si="1"/>
        <v>16</v>
      </c>
      <c r="G42" s="41"/>
    </row>
    <row r="43" spans="1:7" ht="19.5" thickBot="1">
      <c r="A43" t="str">
        <f t="shared" si="2"/>
        <v>山鹿地域</v>
      </c>
      <c r="B43" s="2" t="str">
        <f t="shared" si="2"/>
        <v>川辺地区</v>
      </c>
      <c r="C43" s="7">
        <v>2</v>
      </c>
      <c r="D43" s="8" t="s">
        <v>51</v>
      </c>
      <c r="E43" s="6">
        <v>65</v>
      </c>
      <c r="F43" s="43">
        <f t="shared" si="1"/>
        <v>66</v>
      </c>
      <c r="G43" s="41"/>
    </row>
    <row r="44" spans="1:7" ht="19.5" thickBot="1">
      <c r="A44" t="str">
        <f t="shared" si="2"/>
        <v>山鹿地域</v>
      </c>
      <c r="B44" s="2" t="str">
        <f t="shared" si="2"/>
        <v>川辺地区</v>
      </c>
      <c r="C44" s="7">
        <v>3</v>
      </c>
      <c r="D44" s="8" t="s">
        <v>52</v>
      </c>
      <c r="E44" s="6">
        <v>43</v>
      </c>
      <c r="F44" s="43">
        <f t="shared" si="1"/>
        <v>44</v>
      </c>
      <c r="G44" s="41"/>
    </row>
    <row r="45" spans="1:7" ht="19.5" thickBot="1">
      <c r="A45" t="str">
        <f t="shared" si="2"/>
        <v>山鹿地域</v>
      </c>
      <c r="B45" s="2" t="str">
        <f t="shared" si="2"/>
        <v>川辺地区</v>
      </c>
      <c r="C45" s="4">
        <v>4</v>
      </c>
      <c r="D45" s="5" t="s">
        <v>53</v>
      </c>
      <c r="E45" s="6">
        <v>25</v>
      </c>
      <c r="F45" s="42">
        <f t="shared" si="1"/>
        <v>26</v>
      </c>
      <c r="G45" s="41"/>
    </row>
    <row r="46" spans="1:7" ht="19.5" thickBot="1">
      <c r="A46" t="str">
        <f t="shared" si="2"/>
        <v>山鹿地域</v>
      </c>
      <c r="B46" s="2" t="str">
        <f t="shared" si="2"/>
        <v>川辺地区</v>
      </c>
      <c r="C46" s="7">
        <v>5</v>
      </c>
      <c r="D46" s="8" t="s">
        <v>54</v>
      </c>
      <c r="E46" s="6">
        <v>13</v>
      </c>
      <c r="F46" s="43">
        <f t="shared" si="1"/>
        <v>14</v>
      </c>
      <c r="G46" s="41"/>
    </row>
    <row r="47" spans="1:7" ht="19.5" thickBot="1">
      <c r="A47" t="str">
        <f t="shared" si="2"/>
        <v>山鹿地域</v>
      </c>
      <c r="B47" s="2" t="str">
        <f t="shared" si="2"/>
        <v>川辺地区</v>
      </c>
      <c r="C47" s="7">
        <v>6</v>
      </c>
      <c r="D47" s="8" t="s">
        <v>55</v>
      </c>
      <c r="E47" s="6">
        <v>10</v>
      </c>
      <c r="F47" s="43">
        <f t="shared" si="1"/>
        <v>11</v>
      </c>
      <c r="G47" s="41"/>
    </row>
    <row r="48" spans="1:7" ht="19.5" thickBot="1">
      <c r="A48" t="str">
        <f t="shared" si="2"/>
        <v>山鹿地域</v>
      </c>
      <c r="B48" s="2" t="str">
        <f t="shared" si="2"/>
        <v>川辺地区</v>
      </c>
      <c r="C48" s="7">
        <v>7</v>
      </c>
      <c r="D48" s="8" t="s">
        <v>56</v>
      </c>
      <c r="E48" s="6">
        <v>15</v>
      </c>
      <c r="F48" s="43">
        <f t="shared" si="1"/>
        <v>16</v>
      </c>
      <c r="G48" s="41"/>
    </row>
    <row r="49" spans="1:7" ht="19.5" thickBot="1">
      <c r="A49" t="str">
        <f t="shared" si="2"/>
        <v>山鹿地域</v>
      </c>
      <c r="B49" s="2" t="str">
        <f t="shared" si="2"/>
        <v>川辺地区</v>
      </c>
      <c r="C49" s="9">
        <v>8</v>
      </c>
      <c r="D49" s="10" t="s">
        <v>57</v>
      </c>
      <c r="E49" s="6">
        <v>15</v>
      </c>
      <c r="F49" s="43">
        <f t="shared" si="1"/>
        <v>16</v>
      </c>
      <c r="G49" s="41"/>
    </row>
    <row r="50" spans="1:7" ht="19.5" thickBot="1">
      <c r="A50" t="str">
        <f t="shared" si="2"/>
        <v>山鹿地域</v>
      </c>
      <c r="B50" s="2" t="str">
        <f t="shared" si="2"/>
        <v>川辺地区</v>
      </c>
      <c r="C50" s="9">
        <v>9</v>
      </c>
      <c r="D50" s="10" t="s">
        <v>58</v>
      </c>
      <c r="E50" s="6">
        <v>24</v>
      </c>
      <c r="F50" s="43">
        <f t="shared" si="1"/>
        <v>25</v>
      </c>
      <c r="G50" s="41"/>
    </row>
    <row r="51" spans="1:7" ht="19.5" thickBot="1">
      <c r="A51" t="str">
        <f t="shared" si="2"/>
        <v>山鹿地域</v>
      </c>
      <c r="B51" s="2" t="str">
        <f t="shared" si="2"/>
        <v>川辺地区</v>
      </c>
      <c r="C51" s="7">
        <v>10</v>
      </c>
      <c r="D51" s="8" t="s">
        <v>59</v>
      </c>
      <c r="E51" s="6">
        <v>31</v>
      </c>
      <c r="F51" s="43">
        <f t="shared" si="1"/>
        <v>32</v>
      </c>
      <c r="G51" s="41"/>
    </row>
    <row r="52" spans="1:7" ht="19.5" thickBot="1">
      <c r="A52" t="str">
        <f t="shared" si="2"/>
        <v>山鹿地域</v>
      </c>
      <c r="B52" s="2" t="str">
        <f t="shared" si="2"/>
        <v>川辺地区</v>
      </c>
      <c r="C52" s="7">
        <v>11</v>
      </c>
      <c r="D52" s="5" t="s">
        <v>60</v>
      </c>
      <c r="E52" s="6">
        <v>35</v>
      </c>
      <c r="F52" s="42">
        <f t="shared" si="1"/>
        <v>36</v>
      </c>
      <c r="G52" s="41"/>
    </row>
    <row r="53" spans="1:7" ht="19.5" thickBot="1">
      <c r="A53" t="str">
        <f t="shared" si="2"/>
        <v>山鹿地域</v>
      </c>
      <c r="B53" s="2" t="str">
        <f t="shared" si="2"/>
        <v>川辺地区</v>
      </c>
      <c r="C53" s="23">
        <v>12</v>
      </c>
      <c r="D53" s="24" t="s">
        <v>61</v>
      </c>
      <c r="E53" s="20">
        <v>90</v>
      </c>
      <c r="F53" s="45">
        <f t="shared" si="1"/>
        <v>91</v>
      </c>
      <c r="G53" s="46">
        <f>SUM(F42:F53)</f>
        <v>393</v>
      </c>
    </row>
    <row r="54" spans="1:7" ht="19.5" thickBot="1">
      <c r="A54" t="str">
        <f t="shared" si="2"/>
        <v>山鹿地域</v>
      </c>
      <c r="B54" s="2" t="s">
        <v>62</v>
      </c>
      <c r="C54" s="14">
        <v>1</v>
      </c>
      <c r="D54" s="2" t="s">
        <v>63</v>
      </c>
      <c r="E54" s="3">
        <v>85</v>
      </c>
      <c r="F54" s="47">
        <f t="shared" si="1"/>
        <v>86</v>
      </c>
      <c r="G54" s="41"/>
    </row>
    <row r="55" spans="1:7" ht="19.5" thickBot="1">
      <c r="A55" t="str">
        <f t="shared" si="2"/>
        <v>山鹿地域</v>
      </c>
      <c r="B55" s="2" t="str">
        <f t="shared" si="2"/>
        <v>八幡地区</v>
      </c>
      <c r="C55" s="7" t="s">
        <v>64</v>
      </c>
      <c r="D55" s="5" t="s">
        <v>65</v>
      </c>
      <c r="E55" s="6">
        <v>217</v>
      </c>
      <c r="F55" s="42">
        <f t="shared" si="1"/>
        <v>218</v>
      </c>
      <c r="G55" s="41"/>
    </row>
    <row r="56" spans="1:7" ht="19.5" thickBot="1">
      <c r="A56" t="str">
        <f t="shared" si="2"/>
        <v>山鹿地域</v>
      </c>
      <c r="B56" s="2" t="str">
        <f t="shared" si="2"/>
        <v>八幡地区</v>
      </c>
      <c r="C56" s="7" t="s">
        <v>66</v>
      </c>
      <c r="D56" s="5" t="s">
        <v>67</v>
      </c>
      <c r="E56" s="6">
        <v>112</v>
      </c>
      <c r="F56" s="42">
        <f t="shared" si="1"/>
        <v>113</v>
      </c>
      <c r="G56" s="41"/>
    </row>
    <row r="57" spans="1:7" ht="19.5" thickBot="1">
      <c r="A57" t="str">
        <f t="shared" si="2"/>
        <v>山鹿地域</v>
      </c>
      <c r="B57" s="2" t="str">
        <f t="shared" si="2"/>
        <v>八幡地区</v>
      </c>
      <c r="C57" s="7">
        <v>3</v>
      </c>
      <c r="D57" s="5" t="s">
        <v>68</v>
      </c>
      <c r="E57" s="6">
        <v>88</v>
      </c>
      <c r="F57" s="42">
        <f t="shared" si="1"/>
        <v>89</v>
      </c>
      <c r="G57" s="41"/>
    </row>
    <row r="58" spans="1:7" ht="19.5" thickBot="1">
      <c r="A58" t="str">
        <f t="shared" si="2"/>
        <v>山鹿地域</v>
      </c>
      <c r="B58" s="2" t="str">
        <f t="shared" si="2"/>
        <v>八幡地区</v>
      </c>
      <c r="C58" s="7" t="s">
        <v>69</v>
      </c>
      <c r="D58" s="8" t="s">
        <v>70</v>
      </c>
      <c r="E58" s="6">
        <v>175</v>
      </c>
      <c r="F58" s="43">
        <f t="shared" si="1"/>
        <v>176</v>
      </c>
      <c r="G58" s="41"/>
    </row>
    <row r="59" spans="1:7" ht="19.5" thickBot="1">
      <c r="A59" t="str">
        <f t="shared" si="2"/>
        <v>山鹿地域</v>
      </c>
      <c r="B59" s="2" t="str">
        <f t="shared" si="2"/>
        <v>八幡地区</v>
      </c>
      <c r="C59" s="9" t="s">
        <v>71</v>
      </c>
      <c r="D59" s="8" t="s">
        <v>72</v>
      </c>
      <c r="E59" s="6">
        <v>208</v>
      </c>
      <c r="F59" s="43">
        <f t="shared" si="1"/>
        <v>209</v>
      </c>
      <c r="G59" s="41"/>
    </row>
    <row r="60" spans="1:7" ht="19.5" thickBot="1">
      <c r="A60" t="str">
        <f t="shared" si="2"/>
        <v>山鹿地域</v>
      </c>
      <c r="B60" s="2" t="str">
        <f t="shared" si="2"/>
        <v>八幡地区</v>
      </c>
      <c r="C60" s="7">
        <v>5</v>
      </c>
      <c r="D60" s="8" t="s">
        <v>73</v>
      </c>
      <c r="E60" s="6">
        <v>120</v>
      </c>
      <c r="F60" s="43">
        <f t="shared" si="1"/>
        <v>121</v>
      </c>
      <c r="G60" s="41"/>
    </row>
    <row r="61" spans="1:7" ht="19.5" thickBot="1">
      <c r="A61" t="str">
        <f t="shared" si="2"/>
        <v>山鹿地域</v>
      </c>
      <c r="B61" s="2" t="str">
        <f t="shared" si="2"/>
        <v>八幡地区</v>
      </c>
      <c r="C61" s="4">
        <v>6</v>
      </c>
      <c r="D61" s="5" t="s">
        <v>74</v>
      </c>
      <c r="E61" s="6">
        <v>145</v>
      </c>
      <c r="F61" s="42">
        <f t="shared" si="1"/>
        <v>146</v>
      </c>
      <c r="G61" s="41"/>
    </row>
    <row r="62" spans="1:7" ht="19.5" thickBot="1">
      <c r="A62" t="str">
        <f t="shared" si="2"/>
        <v>山鹿地域</v>
      </c>
      <c r="B62" s="2" t="str">
        <f t="shared" si="2"/>
        <v>八幡地区</v>
      </c>
      <c r="C62" s="9">
        <v>7</v>
      </c>
      <c r="D62" s="17" t="s">
        <v>75</v>
      </c>
      <c r="E62" s="6">
        <v>236</v>
      </c>
      <c r="F62" s="42">
        <f t="shared" si="1"/>
        <v>237</v>
      </c>
      <c r="G62" s="41"/>
    </row>
    <row r="63" spans="1:7" ht="19.5" thickBot="1">
      <c r="A63" t="str">
        <f t="shared" si="2"/>
        <v>山鹿地域</v>
      </c>
      <c r="B63" s="2" t="str">
        <f t="shared" si="2"/>
        <v>八幡地区</v>
      </c>
      <c r="C63" s="25">
        <v>8</v>
      </c>
      <c r="D63" s="19" t="s">
        <v>76</v>
      </c>
      <c r="E63" s="13">
        <v>42</v>
      </c>
      <c r="F63" s="48">
        <f t="shared" si="1"/>
        <v>43</v>
      </c>
      <c r="G63" s="46">
        <f>SUM(F54:F63)</f>
        <v>1438</v>
      </c>
    </row>
    <row r="64" spans="1:7" ht="19.5" thickBot="1">
      <c r="A64" t="str">
        <f t="shared" si="2"/>
        <v>山鹿地域</v>
      </c>
      <c r="B64" s="2" t="s">
        <v>77</v>
      </c>
      <c r="C64" s="26">
        <v>1</v>
      </c>
      <c r="D64" s="27" t="s">
        <v>78</v>
      </c>
      <c r="E64" s="15">
        <v>16</v>
      </c>
      <c r="F64" s="49">
        <f t="shared" si="1"/>
        <v>17</v>
      </c>
      <c r="G64" s="41"/>
    </row>
    <row r="65" spans="1:7" ht="19.5" thickBot="1">
      <c r="A65" t="str">
        <f t="shared" si="2"/>
        <v>山鹿地域</v>
      </c>
      <c r="B65" s="2" t="str">
        <f t="shared" si="2"/>
        <v>平小城地区</v>
      </c>
      <c r="C65" s="9">
        <v>2</v>
      </c>
      <c r="D65" s="10" t="s">
        <v>79</v>
      </c>
      <c r="E65" s="6">
        <v>34</v>
      </c>
      <c r="F65" s="43">
        <f t="shared" si="1"/>
        <v>35</v>
      </c>
      <c r="G65" s="41"/>
    </row>
    <row r="66" spans="1:7" ht="19.5" thickBot="1">
      <c r="A66" t="str">
        <f t="shared" si="2"/>
        <v>山鹿地域</v>
      </c>
      <c r="B66" s="2" t="str">
        <f t="shared" si="2"/>
        <v>平小城地区</v>
      </c>
      <c r="C66" s="7">
        <v>3</v>
      </c>
      <c r="D66" s="8" t="s">
        <v>80</v>
      </c>
      <c r="E66" s="6">
        <v>28</v>
      </c>
      <c r="F66" s="43">
        <f t="shared" si="1"/>
        <v>29</v>
      </c>
      <c r="G66" s="41"/>
    </row>
    <row r="67" spans="1:7" ht="19.5" thickBot="1">
      <c r="A67" t="str">
        <f t="shared" si="2"/>
        <v>山鹿地域</v>
      </c>
      <c r="B67" s="2" t="str">
        <f t="shared" si="2"/>
        <v>平小城地区</v>
      </c>
      <c r="C67" s="7">
        <v>4</v>
      </c>
      <c r="D67" s="8" t="s">
        <v>81</v>
      </c>
      <c r="E67" s="6">
        <v>44</v>
      </c>
      <c r="F67" s="43">
        <f>SUM(E67+1)</f>
        <v>45</v>
      </c>
      <c r="G67" s="41"/>
    </row>
    <row r="68" spans="1:7" ht="19.5" thickBot="1">
      <c r="A68" t="str">
        <f t="shared" ref="A68:B117" si="3">A67</f>
        <v>山鹿地域</v>
      </c>
      <c r="B68" s="2" t="str">
        <f t="shared" si="3"/>
        <v>平小城地区</v>
      </c>
      <c r="C68" s="9">
        <v>5</v>
      </c>
      <c r="D68" s="17" t="s">
        <v>82</v>
      </c>
      <c r="E68" s="6">
        <v>33</v>
      </c>
      <c r="F68" s="42">
        <f t="shared" si="1"/>
        <v>34</v>
      </c>
      <c r="G68" s="41"/>
    </row>
    <row r="69" spans="1:7" ht="19.5" thickBot="1">
      <c r="A69" t="str">
        <f t="shared" si="3"/>
        <v>山鹿地域</v>
      </c>
      <c r="B69" s="2" t="str">
        <f t="shared" si="3"/>
        <v>平小城地区</v>
      </c>
      <c r="C69" s="9">
        <v>6</v>
      </c>
      <c r="D69" s="10" t="s">
        <v>83</v>
      </c>
      <c r="E69" s="6">
        <v>21</v>
      </c>
      <c r="F69" s="43">
        <f t="shared" ref="F69:F117" si="4">SUM(E69+1)</f>
        <v>22</v>
      </c>
      <c r="G69" s="41"/>
    </row>
    <row r="70" spans="1:7" ht="19.5" thickBot="1">
      <c r="A70" t="str">
        <f t="shared" si="3"/>
        <v>山鹿地域</v>
      </c>
      <c r="B70" s="2" t="str">
        <f t="shared" si="3"/>
        <v>平小城地区</v>
      </c>
      <c r="C70" s="4">
        <v>7</v>
      </c>
      <c r="D70" s="5" t="s">
        <v>84</v>
      </c>
      <c r="E70" s="6">
        <v>27</v>
      </c>
      <c r="F70" s="42">
        <f t="shared" si="4"/>
        <v>28</v>
      </c>
      <c r="G70" s="41"/>
    </row>
    <row r="71" spans="1:7" ht="19.5" thickBot="1">
      <c r="A71" t="str">
        <f t="shared" si="3"/>
        <v>山鹿地域</v>
      </c>
      <c r="B71" s="2" t="str">
        <f t="shared" si="3"/>
        <v>平小城地区</v>
      </c>
      <c r="C71" s="7">
        <v>8</v>
      </c>
      <c r="D71" s="8" t="s">
        <v>85</v>
      </c>
      <c r="E71" s="6">
        <v>34</v>
      </c>
      <c r="F71" s="43">
        <f t="shared" si="4"/>
        <v>35</v>
      </c>
      <c r="G71" s="41"/>
    </row>
    <row r="72" spans="1:7" ht="19.5" thickBot="1">
      <c r="A72" t="str">
        <f t="shared" si="3"/>
        <v>山鹿地域</v>
      </c>
      <c r="B72" s="2" t="str">
        <f t="shared" si="3"/>
        <v>平小城地区</v>
      </c>
      <c r="C72" s="7">
        <v>9</v>
      </c>
      <c r="D72" s="8" t="s">
        <v>86</v>
      </c>
      <c r="E72" s="6">
        <v>26</v>
      </c>
      <c r="F72" s="43">
        <f t="shared" si="4"/>
        <v>27</v>
      </c>
      <c r="G72" s="41"/>
    </row>
    <row r="73" spans="1:7" ht="19.5" thickBot="1">
      <c r="A73" t="str">
        <f t="shared" si="3"/>
        <v>山鹿地域</v>
      </c>
      <c r="B73" s="2" t="str">
        <f t="shared" si="3"/>
        <v>平小城地区</v>
      </c>
      <c r="C73" s="7">
        <v>11</v>
      </c>
      <c r="D73" s="8" t="s">
        <v>87</v>
      </c>
      <c r="E73" s="6">
        <v>38</v>
      </c>
      <c r="F73" s="42">
        <f t="shared" si="4"/>
        <v>39</v>
      </c>
      <c r="G73" s="41"/>
    </row>
    <row r="74" spans="1:7" ht="19.5" thickBot="1">
      <c r="A74" t="str">
        <f t="shared" si="3"/>
        <v>山鹿地域</v>
      </c>
      <c r="B74" s="2" t="str">
        <f t="shared" si="3"/>
        <v>平小城地区</v>
      </c>
      <c r="C74" s="9">
        <v>12</v>
      </c>
      <c r="D74" s="10" t="s">
        <v>88</v>
      </c>
      <c r="E74" s="6">
        <v>24</v>
      </c>
      <c r="F74" s="43">
        <f t="shared" si="4"/>
        <v>25</v>
      </c>
      <c r="G74" s="41"/>
    </row>
    <row r="75" spans="1:7" ht="19.5" thickBot="1">
      <c r="A75" t="str">
        <f t="shared" si="3"/>
        <v>山鹿地域</v>
      </c>
      <c r="B75" s="2" t="str">
        <f t="shared" si="3"/>
        <v>平小城地区</v>
      </c>
      <c r="C75" s="7">
        <v>13</v>
      </c>
      <c r="D75" s="8" t="s">
        <v>89</v>
      </c>
      <c r="E75" s="6">
        <v>100</v>
      </c>
      <c r="F75" s="43">
        <f t="shared" si="4"/>
        <v>101</v>
      </c>
      <c r="G75" s="41"/>
    </row>
    <row r="76" spans="1:7" ht="19.5" thickBot="1">
      <c r="A76" t="str">
        <f t="shared" si="3"/>
        <v>山鹿地域</v>
      </c>
      <c r="B76" s="2" t="str">
        <f t="shared" si="3"/>
        <v>平小城地区</v>
      </c>
      <c r="C76" s="28">
        <v>14</v>
      </c>
      <c r="D76" s="17" t="s">
        <v>90</v>
      </c>
      <c r="E76" s="6">
        <v>20</v>
      </c>
      <c r="F76" s="42">
        <f t="shared" si="4"/>
        <v>21</v>
      </c>
      <c r="G76" s="44"/>
    </row>
    <row r="77" spans="1:7" ht="19.5" thickBot="1">
      <c r="A77" t="str">
        <f t="shared" si="3"/>
        <v>山鹿地域</v>
      </c>
      <c r="B77" s="2" t="str">
        <f t="shared" si="3"/>
        <v>平小城地区</v>
      </c>
      <c r="C77" s="25">
        <v>15</v>
      </c>
      <c r="D77" s="24" t="s">
        <v>91</v>
      </c>
      <c r="E77" s="20">
        <v>29</v>
      </c>
      <c r="F77" s="45">
        <f t="shared" si="4"/>
        <v>30</v>
      </c>
      <c r="G77" s="46">
        <f>SUM(F64:F77)</f>
        <v>488</v>
      </c>
    </row>
    <row r="78" spans="1:7" ht="19.5" thickBot="1">
      <c r="A78" t="str">
        <f t="shared" si="3"/>
        <v>山鹿地域</v>
      </c>
      <c r="B78" s="2" t="s">
        <v>92</v>
      </c>
      <c r="C78" s="29">
        <v>1</v>
      </c>
      <c r="D78" s="30" t="s">
        <v>93</v>
      </c>
      <c r="E78" s="22">
        <v>44</v>
      </c>
      <c r="F78" s="47">
        <f t="shared" si="4"/>
        <v>45</v>
      </c>
      <c r="G78" s="41"/>
    </row>
    <row r="79" spans="1:7" ht="19.5" thickBot="1">
      <c r="A79" t="str">
        <f t="shared" si="3"/>
        <v>山鹿地域</v>
      </c>
      <c r="B79" s="2" t="str">
        <f t="shared" si="3"/>
        <v>三岳地区</v>
      </c>
      <c r="C79" s="7">
        <v>2</v>
      </c>
      <c r="D79" s="5" t="s">
        <v>94</v>
      </c>
      <c r="E79" s="6">
        <v>46</v>
      </c>
      <c r="F79" s="42">
        <f t="shared" si="4"/>
        <v>47</v>
      </c>
      <c r="G79" s="41"/>
    </row>
    <row r="80" spans="1:7" ht="19.5" thickBot="1">
      <c r="A80" t="str">
        <f t="shared" si="3"/>
        <v>山鹿地域</v>
      </c>
      <c r="B80" s="2" t="str">
        <f t="shared" si="3"/>
        <v>三岳地区</v>
      </c>
      <c r="C80" s="7">
        <v>3</v>
      </c>
      <c r="D80" s="5" t="s">
        <v>95</v>
      </c>
      <c r="E80" s="6">
        <v>34</v>
      </c>
      <c r="F80" s="42">
        <f t="shared" si="4"/>
        <v>35</v>
      </c>
      <c r="G80" s="41"/>
    </row>
    <row r="81" spans="1:7" ht="19.5" thickBot="1">
      <c r="A81" t="str">
        <f t="shared" si="3"/>
        <v>山鹿地域</v>
      </c>
      <c r="B81" s="2" t="str">
        <f t="shared" si="3"/>
        <v>三岳地区</v>
      </c>
      <c r="C81" s="7">
        <v>4</v>
      </c>
      <c r="D81" s="5" t="s">
        <v>96</v>
      </c>
      <c r="E81" s="6">
        <v>40</v>
      </c>
      <c r="F81" s="42">
        <f t="shared" si="4"/>
        <v>41</v>
      </c>
      <c r="G81" s="41"/>
    </row>
    <row r="82" spans="1:7" ht="19.5" thickBot="1">
      <c r="A82" t="str">
        <f t="shared" si="3"/>
        <v>山鹿地域</v>
      </c>
      <c r="B82" s="2" t="str">
        <f t="shared" si="3"/>
        <v>三岳地区</v>
      </c>
      <c r="C82" s="9">
        <v>5</v>
      </c>
      <c r="D82" s="17" t="s">
        <v>97</v>
      </c>
      <c r="E82" s="6">
        <v>83</v>
      </c>
      <c r="F82" s="42">
        <f t="shared" si="4"/>
        <v>84</v>
      </c>
      <c r="G82" s="41"/>
    </row>
    <row r="83" spans="1:7" ht="19.5" thickBot="1">
      <c r="A83" t="str">
        <f t="shared" si="3"/>
        <v>山鹿地域</v>
      </c>
      <c r="B83" s="2" t="str">
        <f t="shared" si="3"/>
        <v>三岳地区</v>
      </c>
      <c r="C83" s="7">
        <v>6</v>
      </c>
      <c r="D83" s="5" t="s">
        <v>98</v>
      </c>
      <c r="E83" s="6">
        <v>115</v>
      </c>
      <c r="F83" s="42">
        <f t="shared" si="4"/>
        <v>116</v>
      </c>
      <c r="G83" s="41"/>
    </row>
    <row r="84" spans="1:7" ht="19.5" thickBot="1">
      <c r="A84" t="str">
        <f t="shared" si="3"/>
        <v>山鹿地域</v>
      </c>
      <c r="B84" s="2" t="str">
        <f t="shared" si="3"/>
        <v>三岳地区</v>
      </c>
      <c r="C84" s="28">
        <v>7</v>
      </c>
      <c r="D84" s="17" t="s">
        <v>99</v>
      </c>
      <c r="E84" s="6">
        <v>53</v>
      </c>
      <c r="F84" s="42">
        <f t="shared" si="4"/>
        <v>54</v>
      </c>
      <c r="G84" s="41"/>
    </row>
    <row r="85" spans="1:7" ht="19.5" thickBot="1">
      <c r="A85" t="str">
        <f t="shared" si="3"/>
        <v>山鹿地域</v>
      </c>
      <c r="B85" s="2" t="str">
        <f t="shared" si="3"/>
        <v>三岳地区</v>
      </c>
      <c r="C85" s="7">
        <v>8</v>
      </c>
      <c r="D85" s="5" t="s">
        <v>100</v>
      </c>
      <c r="E85" s="6">
        <v>32</v>
      </c>
      <c r="F85" s="42">
        <f t="shared" si="4"/>
        <v>33</v>
      </c>
      <c r="G85" s="41"/>
    </row>
    <row r="86" spans="1:7" ht="19.5" thickBot="1">
      <c r="A86" t="str">
        <f t="shared" si="3"/>
        <v>山鹿地域</v>
      </c>
      <c r="B86" s="2" t="str">
        <f t="shared" si="3"/>
        <v>三岳地区</v>
      </c>
      <c r="C86" s="7">
        <v>9</v>
      </c>
      <c r="D86" s="8" t="s">
        <v>101</v>
      </c>
      <c r="E86" s="6">
        <v>67</v>
      </c>
      <c r="F86" s="42">
        <f>SUM(E86+1)</f>
        <v>68</v>
      </c>
      <c r="G86" s="41"/>
    </row>
    <row r="87" spans="1:7" ht="19.5" thickBot="1">
      <c r="A87" t="str">
        <f t="shared" si="3"/>
        <v>山鹿地域</v>
      </c>
      <c r="B87" s="2" t="str">
        <f t="shared" si="3"/>
        <v>三岳地区</v>
      </c>
      <c r="C87" s="7">
        <v>10</v>
      </c>
      <c r="D87" s="8" t="s">
        <v>102</v>
      </c>
      <c r="E87" s="6">
        <v>75</v>
      </c>
      <c r="F87" s="42">
        <f>SUM(E87+1)</f>
        <v>76</v>
      </c>
      <c r="G87" s="41"/>
    </row>
    <row r="88" spans="1:7" ht="19.5" thickBot="1">
      <c r="A88" t="str">
        <f t="shared" si="3"/>
        <v>山鹿地域</v>
      </c>
      <c r="B88" s="2" t="str">
        <f t="shared" si="3"/>
        <v>三岳地区</v>
      </c>
      <c r="C88" s="11">
        <v>11</v>
      </c>
      <c r="D88" s="12" t="s">
        <v>103</v>
      </c>
      <c r="E88" s="20">
        <v>100</v>
      </c>
      <c r="F88" s="45">
        <f t="shared" si="4"/>
        <v>101</v>
      </c>
      <c r="G88" s="46">
        <f>SUM(F78:F88)</f>
        <v>700</v>
      </c>
    </row>
    <row r="89" spans="1:7" ht="19.5" thickBot="1">
      <c r="A89" t="str">
        <f t="shared" si="3"/>
        <v>山鹿地域</v>
      </c>
      <c r="B89" s="2" t="s">
        <v>104</v>
      </c>
      <c r="C89" s="14">
        <v>1</v>
      </c>
      <c r="D89" s="2" t="s">
        <v>105</v>
      </c>
      <c r="E89" s="22">
        <v>85</v>
      </c>
      <c r="F89" s="47">
        <f t="shared" si="4"/>
        <v>86</v>
      </c>
      <c r="G89" s="41"/>
    </row>
    <row r="90" spans="1:7" ht="19.5" thickBot="1">
      <c r="A90" t="str">
        <f t="shared" si="3"/>
        <v>山鹿地域</v>
      </c>
      <c r="B90" s="2" t="str">
        <f t="shared" si="3"/>
        <v>三玉地区</v>
      </c>
      <c r="C90" s="7">
        <v>2</v>
      </c>
      <c r="D90" s="5" t="s">
        <v>106</v>
      </c>
      <c r="E90" s="6">
        <v>50</v>
      </c>
      <c r="F90" s="42">
        <f t="shared" si="4"/>
        <v>51</v>
      </c>
      <c r="G90" s="41"/>
    </row>
    <row r="91" spans="1:7" ht="19.5" thickBot="1">
      <c r="A91" t="str">
        <f t="shared" si="3"/>
        <v>山鹿地域</v>
      </c>
      <c r="B91" s="2" t="str">
        <f t="shared" si="3"/>
        <v>三玉地区</v>
      </c>
      <c r="C91" s="9">
        <v>4</v>
      </c>
      <c r="D91" s="17" t="s">
        <v>107</v>
      </c>
      <c r="E91" s="6">
        <v>259</v>
      </c>
      <c r="F91" s="42">
        <f t="shared" si="4"/>
        <v>260</v>
      </c>
      <c r="G91" s="41"/>
    </row>
    <row r="92" spans="1:7" ht="19.5" thickBot="1">
      <c r="A92" t="str">
        <f t="shared" si="3"/>
        <v>山鹿地域</v>
      </c>
      <c r="B92" s="2" t="str">
        <f t="shared" si="3"/>
        <v>三玉地区</v>
      </c>
      <c r="C92" s="31" t="s">
        <v>108</v>
      </c>
      <c r="D92" s="32" t="s">
        <v>109</v>
      </c>
      <c r="E92" s="3">
        <v>33</v>
      </c>
      <c r="F92" s="42">
        <f t="shared" si="4"/>
        <v>34</v>
      </c>
      <c r="G92" s="41"/>
    </row>
    <row r="93" spans="1:7" ht="19.5" thickBot="1">
      <c r="A93" t="str">
        <f t="shared" si="3"/>
        <v>山鹿地域</v>
      </c>
      <c r="B93" s="2" t="str">
        <f t="shared" si="3"/>
        <v>三玉地区</v>
      </c>
      <c r="C93" s="9" t="s">
        <v>110</v>
      </c>
      <c r="D93" s="17" t="s">
        <v>111</v>
      </c>
      <c r="E93" s="6">
        <v>84</v>
      </c>
      <c r="F93" s="42">
        <f t="shared" si="4"/>
        <v>85</v>
      </c>
      <c r="G93" s="41"/>
    </row>
    <row r="94" spans="1:7" ht="19.5" thickBot="1">
      <c r="A94" t="str">
        <f t="shared" si="3"/>
        <v>山鹿地域</v>
      </c>
      <c r="B94" s="2" t="str">
        <f t="shared" si="3"/>
        <v>三玉地区</v>
      </c>
      <c r="C94" s="7">
        <v>6</v>
      </c>
      <c r="D94" s="5" t="s">
        <v>112</v>
      </c>
      <c r="E94" s="6">
        <v>105</v>
      </c>
      <c r="F94" s="42">
        <f t="shared" si="4"/>
        <v>106</v>
      </c>
      <c r="G94" s="41"/>
    </row>
    <row r="95" spans="1:7" ht="19.5" thickBot="1">
      <c r="A95" t="str">
        <f t="shared" si="3"/>
        <v>山鹿地域</v>
      </c>
      <c r="B95" s="2" t="str">
        <f t="shared" si="3"/>
        <v>三玉地区</v>
      </c>
      <c r="C95" s="9" t="s">
        <v>113</v>
      </c>
      <c r="D95" s="8" t="s">
        <v>114</v>
      </c>
      <c r="E95" s="6">
        <v>27</v>
      </c>
      <c r="F95" s="43">
        <f t="shared" si="4"/>
        <v>28</v>
      </c>
      <c r="G95" s="41"/>
    </row>
    <row r="96" spans="1:7" ht="19.5" thickBot="1">
      <c r="A96" t="str">
        <f t="shared" si="3"/>
        <v>山鹿地域</v>
      </c>
      <c r="B96" s="2" t="str">
        <f t="shared" si="3"/>
        <v>三玉地区</v>
      </c>
      <c r="C96" s="9" t="s">
        <v>115</v>
      </c>
      <c r="D96" s="17" t="s">
        <v>116</v>
      </c>
      <c r="E96" s="6">
        <v>60</v>
      </c>
      <c r="F96" s="42">
        <f t="shared" si="4"/>
        <v>61</v>
      </c>
      <c r="G96" s="41"/>
    </row>
    <row r="97" spans="1:7" ht="19.5" thickBot="1">
      <c r="A97" t="str">
        <f t="shared" si="3"/>
        <v>山鹿地域</v>
      </c>
      <c r="B97" s="2" t="str">
        <f t="shared" si="3"/>
        <v>三玉地区</v>
      </c>
      <c r="C97" s="7">
        <v>8</v>
      </c>
      <c r="D97" s="8" t="s">
        <v>117</v>
      </c>
      <c r="E97" s="6">
        <v>33</v>
      </c>
      <c r="F97" s="43">
        <f t="shared" si="4"/>
        <v>34</v>
      </c>
      <c r="G97" s="41"/>
    </row>
    <row r="98" spans="1:7" ht="19.5" thickBot="1">
      <c r="A98" t="str">
        <f t="shared" si="3"/>
        <v>山鹿地域</v>
      </c>
      <c r="B98" s="2" t="str">
        <f t="shared" si="3"/>
        <v>三玉地区</v>
      </c>
      <c r="C98" s="9">
        <v>10</v>
      </c>
      <c r="D98" s="17" t="s">
        <v>118</v>
      </c>
      <c r="E98" s="6">
        <v>101</v>
      </c>
      <c r="F98" s="43">
        <f t="shared" si="4"/>
        <v>102</v>
      </c>
      <c r="G98" s="41"/>
    </row>
    <row r="99" spans="1:7" ht="19.5" thickBot="1">
      <c r="A99" t="str">
        <f t="shared" si="3"/>
        <v>山鹿地域</v>
      </c>
      <c r="B99" s="2" t="str">
        <f t="shared" si="3"/>
        <v>三玉地区</v>
      </c>
      <c r="C99" s="11">
        <v>11</v>
      </c>
      <c r="D99" s="33" t="s">
        <v>119</v>
      </c>
      <c r="E99" s="13">
        <v>170</v>
      </c>
      <c r="F99" s="48">
        <f t="shared" si="4"/>
        <v>171</v>
      </c>
      <c r="G99" s="46">
        <f>SUM(F89:F99)</f>
        <v>1018</v>
      </c>
    </row>
    <row r="100" spans="1:7" ht="19.5" thickBot="1">
      <c r="A100" t="str">
        <f t="shared" si="3"/>
        <v>山鹿地域</v>
      </c>
      <c r="B100" s="2" t="s">
        <v>120</v>
      </c>
      <c r="C100" s="34">
        <v>1</v>
      </c>
      <c r="D100" s="35" t="s">
        <v>121</v>
      </c>
      <c r="E100" s="3">
        <v>72</v>
      </c>
      <c r="F100" s="50">
        <f t="shared" si="4"/>
        <v>73</v>
      </c>
      <c r="G100" s="41"/>
    </row>
    <row r="101" spans="1:7" ht="19.5" thickBot="1">
      <c r="A101" t="str">
        <f t="shared" si="3"/>
        <v>山鹿地域</v>
      </c>
      <c r="B101" s="2" t="str">
        <f t="shared" si="3"/>
        <v>大道地区</v>
      </c>
      <c r="C101" s="4">
        <v>2</v>
      </c>
      <c r="D101" s="5" t="s">
        <v>122</v>
      </c>
      <c r="E101" s="6">
        <v>46</v>
      </c>
      <c r="F101" s="51">
        <f t="shared" si="4"/>
        <v>47</v>
      </c>
      <c r="G101" s="41"/>
    </row>
    <row r="102" spans="1:7" ht="19.5" thickBot="1">
      <c r="A102" t="str">
        <f t="shared" si="3"/>
        <v>山鹿地域</v>
      </c>
      <c r="B102" s="2" t="str">
        <f t="shared" si="3"/>
        <v>大道地区</v>
      </c>
      <c r="C102" s="7">
        <v>3</v>
      </c>
      <c r="D102" s="8" t="s">
        <v>123</v>
      </c>
      <c r="E102" s="6">
        <v>189</v>
      </c>
      <c r="F102" s="52">
        <f t="shared" si="4"/>
        <v>190</v>
      </c>
      <c r="G102" s="41"/>
    </row>
    <row r="103" spans="1:7" ht="19.5" thickBot="1">
      <c r="A103" t="str">
        <f t="shared" si="3"/>
        <v>山鹿地域</v>
      </c>
      <c r="B103" s="2" t="str">
        <f t="shared" si="3"/>
        <v>大道地区</v>
      </c>
      <c r="C103" s="7">
        <v>4</v>
      </c>
      <c r="D103" s="8" t="s">
        <v>124</v>
      </c>
      <c r="E103" s="6">
        <v>393</v>
      </c>
      <c r="F103" s="52">
        <f t="shared" si="4"/>
        <v>394</v>
      </c>
      <c r="G103" s="41"/>
    </row>
    <row r="104" spans="1:7" ht="19.5" thickBot="1">
      <c r="A104" t="str">
        <f t="shared" si="3"/>
        <v>山鹿地域</v>
      </c>
      <c r="B104" s="2" t="str">
        <f t="shared" si="3"/>
        <v>大道地区</v>
      </c>
      <c r="C104" s="7">
        <v>5</v>
      </c>
      <c r="D104" s="5" t="s">
        <v>125</v>
      </c>
      <c r="E104" s="6">
        <v>217</v>
      </c>
      <c r="F104" s="53">
        <f>SUM(E104+1)</f>
        <v>218</v>
      </c>
      <c r="G104" s="41"/>
    </row>
    <row r="105" spans="1:7" ht="19.5" thickBot="1">
      <c r="A105" t="str">
        <f t="shared" si="3"/>
        <v>山鹿地域</v>
      </c>
      <c r="B105" s="2" t="str">
        <f t="shared" si="3"/>
        <v>大道地区</v>
      </c>
      <c r="C105" s="7" t="s">
        <v>126</v>
      </c>
      <c r="D105" s="8" t="s">
        <v>127</v>
      </c>
      <c r="E105" s="6">
        <v>232</v>
      </c>
      <c r="F105" s="51">
        <f t="shared" si="4"/>
        <v>233</v>
      </c>
      <c r="G105" s="41"/>
    </row>
    <row r="106" spans="1:7" ht="19.5" thickBot="1">
      <c r="A106" t="str">
        <f t="shared" si="3"/>
        <v>山鹿地域</v>
      </c>
      <c r="B106" s="2" t="str">
        <f t="shared" si="3"/>
        <v>大道地区</v>
      </c>
      <c r="C106" s="7" t="s">
        <v>128</v>
      </c>
      <c r="D106" s="8" t="s">
        <v>129</v>
      </c>
      <c r="E106" s="6">
        <v>331</v>
      </c>
      <c r="F106" s="54">
        <f>SUM(E106+1)</f>
        <v>332</v>
      </c>
      <c r="G106" s="41"/>
    </row>
    <row r="107" spans="1:7" ht="19.5" thickBot="1">
      <c r="A107" t="str">
        <f t="shared" si="3"/>
        <v>山鹿地域</v>
      </c>
      <c r="B107" s="2" t="str">
        <f t="shared" si="3"/>
        <v>大道地区</v>
      </c>
      <c r="C107" s="7" t="s">
        <v>130</v>
      </c>
      <c r="D107" s="8" t="s">
        <v>131</v>
      </c>
      <c r="E107" s="6">
        <v>235</v>
      </c>
      <c r="F107" s="43">
        <f t="shared" si="4"/>
        <v>236</v>
      </c>
      <c r="G107" s="41"/>
    </row>
    <row r="108" spans="1:7" ht="19.5" thickBot="1">
      <c r="A108" t="str">
        <f t="shared" si="3"/>
        <v>山鹿地域</v>
      </c>
      <c r="B108" s="2" t="str">
        <f t="shared" si="3"/>
        <v>大道地区</v>
      </c>
      <c r="C108" s="7" t="s">
        <v>132</v>
      </c>
      <c r="D108" s="8" t="s">
        <v>133</v>
      </c>
      <c r="E108" s="6">
        <v>110</v>
      </c>
      <c r="F108" s="43">
        <f t="shared" si="4"/>
        <v>111</v>
      </c>
      <c r="G108" s="41"/>
    </row>
    <row r="109" spans="1:7" ht="19.5" thickBot="1">
      <c r="A109" t="str">
        <f t="shared" si="3"/>
        <v>山鹿地域</v>
      </c>
      <c r="B109" s="2" t="str">
        <f t="shared" si="3"/>
        <v>大道地区</v>
      </c>
      <c r="C109" s="7" t="s">
        <v>134</v>
      </c>
      <c r="D109" s="8" t="s">
        <v>135</v>
      </c>
      <c r="E109" s="36">
        <v>221</v>
      </c>
      <c r="F109" s="52">
        <f t="shared" si="4"/>
        <v>222</v>
      </c>
      <c r="G109" s="41" t="s">
        <v>151</v>
      </c>
    </row>
    <row r="110" spans="1:7" ht="19.5" thickBot="1">
      <c r="A110" t="str">
        <f t="shared" si="3"/>
        <v>山鹿地域</v>
      </c>
      <c r="B110" s="2" t="str">
        <f t="shared" si="3"/>
        <v>大道地区</v>
      </c>
      <c r="C110" s="7">
        <v>7</v>
      </c>
      <c r="D110" s="5" t="s">
        <v>136</v>
      </c>
      <c r="E110" s="6">
        <v>110</v>
      </c>
      <c r="F110" s="42">
        <f t="shared" si="4"/>
        <v>111</v>
      </c>
      <c r="G110" s="41"/>
    </row>
    <row r="111" spans="1:7" ht="19.5" thickBot="1">
      <c r="A111" t="str">
        <f t="shared" si="3"/>
        <v>山鹿地域</v>
      </c>
      <c r="B111" s="2" t="str">
        <f t="shared" si="3"/>
        <v>大道地区</v>
      </c>
      <c r="C111" s="7" t="s">
        <v>137</v>
      </c>
      <c r="D111" s="5" t="s">
        <v>138</v>
      </c>
      <c r="E111" s="6">
        <v>295</v>
      </c>
      <c r="F111" s="42">
        <f t="shared" si="4"/>
        <v>296</v>
      </c>
      <c r="G111" s="41"/>
    </row>
    <row r="112" spans="1:7" ht="19.5" thickBot="1">
      <c r="A112" t="str">
        <f t="shared" si="3"/>
        <v>山鹿地域</v>
      </c>
      <c r="B112" s="2" t="str">
        <f t="shared" si="3"/>
        <v>大道地区</v>
      </c>
      <c r="C112" s="7" t="s">
        <v>139</v>
      </c>
      <c r="D112" s="8" t="s">
        <v>140</v>
      </c>
      <c r="E112" s="6">
        <v>100</v>
      </c>
      <c r="F112" s="43">
        <f t="shared" si="4"/>
        <v>101</v>
      </c>
      <c r="G112" s="41"/>
    </row>
    <row r="113" spans="1:7" ht="19.5" thickBot="1">
      <c r="A113" t="str">
        <f t="shared" si="3"/>
        <v>山鹿地域</v>
      </c>
      <c r="B113" s="2" t="str">
        <f t="shared" si="3"/>
        <v>大道地区</v>
      </c>
      <c r="C113" s="7" t="s">
        <v>141</v>
      </c>
      <c r="D113" s="5" t="s">
        <v>142</v>
      </c>
      <c r="E113" s="6">
        <v>320</v>
      </c>
      <c r="F113" s="43">
        <f t="shared" si="4"/>
        <v>321</v>
      </c>
      <c r="G113" s="41"/>
    </row>
    <row r="114" spans="1:7" ht="19.5" thickBot="1">
      <c r="A114" t="str">
        <f t="shared" si="3"/>
        <v>山鹿地域</v>
      </c>
      <c r="B114" s="2" t="str">
        <f t="shared" si="3"/>
        <v>大道地区</v>
      </c>
      <c r="C114" s="28" t="s">
        <v>143</v>
      </c>
      <c r="D114" s="5" t="s">
        <v>144</v>
      </c>
      <c r="E114" s="37">
        <v>464</v>
      </c>
      <c r="F114" s="42">
        <f t="shared" si="4"/>
        <v>465</v>
      </c>
      <c r="G114" s="41"/>
    </row>
    <row r="115" spans="1:7" ht="19.5" thickBot="1">
      <c r="A115" t="str">
        <f t="shared" si="3"/>
        <v>山鹿地域</v>
      </c>
      <c r="B115" s="2" t="str">
        <f t="shared" si="3"/>
        <v>大道地区</v>
      </c>
      <c r="C115" s="4" t="s">
        <v>145</v>
      </c>
      <c r="D115" s="5" t="s">
        <v>146</v>
      </c>
      <c r="E115" s="6">
        <v>274</v>
      </c>
      <c r="F115" s="42">
        <f t="shared" si="4"/>
        <v>275</v>
      </c>
      <c r="G115" s="41"/>
    </row>
    <row r="116" spans="1:7" ht="19.5" thickBot="1">
      <c r="A116" t="str">
        <f t="shared" si="3"/>
        <v>山鹿地域</v>
      </c>
      <c r="B116" s="2" t="str">
        <f t="shared" si="3"/>
        <v>大道地区</v>
      </c>
      <c r="C116" s="28" t="s">
        <v>147</v>
      </c>
      <c r="D116" s="5" t="s">
        <v>148</v>
      </c>
      <c r="E116" s="6">
        <v>380</v>
      </c>
      <c r="F116" s="42">
        <f t="shared" si="4"/>
        <v>381</v>
      </c>
      <c r="G116" s="41"/>
    </row>
    <row r="117" spans="1:7" ht="19.5" thickBot="1">
      <c r="A117" t="str">
        <f t="shared" si="3"/>
        <v>山鹿地域</v>
      </c>
      <c r="B117" s="2" t="str">
        <f t="shared" si="3"/>
        <v>大道地区</v>
      </c>
      <c r="C117" s="38">
        <v>10</v>
      </c>
      <c r="D117" s="39" t="s">
        <v>149</v>
      </c>
      <c r="E117" s="20">
        <v>82</v>
      </c>
      <c r="F117" s="55">
        <f t="shared" si="4"/>
        <v>83</v>
      </c>
      <c r="G117" s="46">
        <f>SUM(F100:F117)</f>
        <v>4089</v>
      </c>
    </row>
    <row r="118" spans="1:7" ht="76.5">
      <c r="A118" t="s">
        <v>203</v>
      </c>
      <c r="B118" s="56" t="s">
        <v>152</v>
      </c>
      <c r="C118" s="57">
        <v>1</v>
      </c>
      <c r="D118" s="58" t="s">
        <v>153</v>
      </c>
      <c r="E118" s="59">
        <v>15</v>
      </c>
      <c r="F118" s="60">
        <f>SUM(E118+1)</f>
        <v>16</v>
      </c>
      <c r="G118" s="61"/>
    </row>
    <row r="119" spans="1:7">
      <c r="B119" s="62"/>
      <c r="C119" s="63">
        <v>2</v>
      </c>
      <c r="D119" s="64" t="s">
        <v>154</v>
      </c>
      <c r="E119" s="65">
        <v>2</v>
      </c>
      <c r="F119" s="60">
        <f t="shared" ref="F119:F165" si="5">SUM(E119+1)</f>
        <v>3</v>
      </c>
      <c r="G119" s="61"/>
    </row>
    <row r="120" spans="1:7">
      <c r="B120" s="62"/>
      <c r="C120" s="63">
        <v>3</v>
      </c>
      <c r="D120" s="64" t="s">
        <v>155</v>
      </c>
      <c r="E120" s="65">
        <v>24</v>
      </c>
      <c r="F120" s="60">
        <f t="shared" si="5"/>
        <v>25</v>
      </c>
      <c r="G120" s="61"/>
    </row>
    <row r="121" spans="1:7">
      <c r="B121" s="62"/>
      <c r="C121" s="63">
        <v>4</v>
      </c>
      <c r="D121" s="64" t="s">
        <v>156</v>
      </c>
      <c r="E121" s="65">
        <v>12</v>
      </c>
      <c r="F121" s="60">
        <f t="shared" si="5"/>
        <v>13</v>
      </c>
      <c r="G121" s="61"/>
    </row>
    <row r="122" spans="1:7">
      <c r="B122" s="62"/>
      <c r="C122" s="63">
        <v>5</v>
      </c>
      <c r="D122" s="66" t="s">
        <v>157</v>
      </c>
      <c r="E122" s="65">
        <v>37</v>
      </c>
      <c r="F122" s="67">
        <f t="shared" si="5"/>
        <v>38</v>
      </c>
      <c r="G122" s="61"/>
    </row>
    <row r="123" spans="1:7">
      <c r="B123" s="62"/>
      <c r="C123" s="63">
        <v>6</v>
      </c>
      <c r="D123" s="64" t="s">
        <v>158</v>
      </c>
      <c r="E123" s="65">
        <v>8</v>
      </c>
      <c r="F123" s="60">
        <f t="shared" si="5"/>
        <v>9</v>
      </c>
      <c r="G123" s="61"/>
    </row>
    <row r="124" spans="1:7">
      <c r="B124" s="62"/>
      <c r="C124" s="63">
        <v>7</v>
      </c>
      <c r="D124" s="64" t="s">
        <v>159</v>
      </c>
      <c r="E124" s="65">
        <v>10</v>
      </c>
      <c r="F124" s="60">
        <f t="shared" si="5"/>
        <v>11</v>
      </c>
      <c r="G124" s="61"/>
    </row>
    <row r="125" spans="1:7">
      <c r="B125" s="62"/>
      <c r="C125" s="63">
        <v>8</v>
      </c>
      <c r="D125" s="64" t="s">
        <v>160</v>
      </c>
      <c r="E125" s="65">
        <v>18</v>
      </c>
      <c r="F125" s="60">
        <f t="shared" si="5"/>
        <v>19</v>
      </c>
      <c r="G125" s="61"/>
    </row>
    <row r="126" spans="1:7">
      <c r="B126" s="62"/>
      <c r="C126" s="63">
        <v>9</v>
      </c>
      <c r="D126" s="64" t="s">
        <v>161</v>
      </c>
      <c r="E126" s="65">
        <v>38</v>
      </c>
      <c r="F126" s="60">
        <f t="shared" si="5"/>
        <v>39</v>
      </c>
      <c r="G126" s="61"/>
    </row>
    <row r="127" spans="1:7">
      <c r="B127" s="62"/>
      <c r="C127" s="63">
        <v>10</v>
      </c>
      <c r="D127" s="64" t="s">
        <v>162</v>
      </c>
      <c r="E127" s="65">
        <v>30</v>
      </c>
      <c r="F127" s="60">
        <f t="shared" si="5"/>
        <v>31</v>
      </c>
      <c r="G127" s="61"/>
    </row>
    <row r="128" spans="1:7">
      <c r="B128" s="62"/>
      <c r="C128" s="63">
        <v>11</v>
      </c>
      <c r="D128" s="64" t="s">
        <v>163</v>
      </c>
      <c r="E128" s="65">
        <v>29</v>
      </c>
      <c r="F128" s="60">
        <f t="shared" si="5"/>
        <v>30</v>
      </c>
      <c r="G128" s="61"/>
    </row>
    <row r="129" spans="2:7">
      <c r="B129" s="62"/>
      <c r="C129" s="63">
        <v>12</v>
      </c>
      <c r="D129" s="64" t="s">
        <v>164</v>
      </c>
      <c r="E129" s="65">
        <v>6</v>
      </c>
      <c r="F129" s="60">
        <f t="shared" si="5"/>
        <v>7</v>
      </c>
      <c r="G129" s="61"/>
    </row>
    <row r="130" spans="2:7">
      <c r="B130" s="62"/>
      <c r="C130" s="63">
        <v>13</v>
      </c>
      <c r="D130" s="64" t="s">
        <v>165</v>
      </c>
      <c r="E130" s="65">
        <v>8</v>
      </c>
      <c r="F130" s="60">
        <f>SUM(E130+1)</f>
        <v>9</v>
      </c>
      <c r="G130" s="61"/>
    </row>
    <row r="131" spans="2:7" ht="19.5" thickBot="1">
      <c r="B131" s="68"/>
      <c r="C131" s="69">
        <v>14</v>
      </c>
      <c r="D131" s="70" t="s">
        <v>166</v>
      </c>
      <c r="E131" s="71">
        <v>18</v>
      </c>
      <c r="F131" s="72">
        <f t="shared" si="5"/>
        <v>19</v>
      </c>
      <c r="G131" s="61">
        <f>SUM(F118:F131)</f>
        <v>269</v>
      </c>
    </row>
    <row r="132" spans="2:7" ht="76.5">
      <c r="B132" s="73" t="s">
        <v>167</v>
      </c>
      <c r="C132" s="74">
        <v>1</v>
      </c>
      <c r="D132" s="75" t="s">
        <v>168</v>
      </c>
      <c r="E132" s="59">
        <v>21</v>
      </c>
      <c r="F132" s="76">
        <f t="shared" si="5"/>
        <v>22</v>
      </c>
      <c r="G132" s="77"/>
    </row>
    <row r="133" spans="2:7">
      <c r="B133" s="62"/>
      <c r="C133" s="78">
        <v>2</v>
      </c>
      <c r="D133" s="64" t="s">
        <v>169</v>
      </c>
      <c r="E133" s="65">
        <v>14</v>
      </c>
      <c r="F133" s="60">
        <f t="shared" si="5"/>
        <v>15</v>
      </c>
      <c r="G133" s="61"/>
    </row>
    <row r="134" spans="2:7">
      <c r="B134" s="62"/>
      <c r="C134" s="78">
        <v>3</v>
      </c>
      <c r="D134" s="64" t="s">
        <v>170</v>
      </c>
      <c r="E134" s="65">
        <v>32</v>
      </c>
      <c r="F134" s="60">
        <f t="shared" si="5"/>
        <v>33</v>
      </c>
      <c r="G134" s="61"/>
    </row>
    <row r="135" spans="2:7">
      <c r="B135" s="62"/>
      <c r="C135" s="78">
        <v>4</v>
      </c>
      <c r="D135" s="64" t="s">
        <v>171</v>
      </c>
      <c r="E135" s="65">
        <v>26</v>
      </c>
      <c r="F135" s="60">
        <f t="shared" si="5"/>
        <v>27</v>
      </c>
      <c r="G135" s="61"/>
    </row>
    <row r="136" spans="2:7">
      <c r="B136" s="62"/>
      <c r="C136" s="78">
        <v>5</v>
      </c>
      <c r="D136" s="64" t="s">
        <v>172</v>
      </c>
      <c r="E136" s="65">
        <v>20</v>
      </c>
      <c r="F136" s="60">
        <f t="shared" si="5"/>
        <v>21</v>
      </c>
      <c r="G136" s="61"/>
    </row>
    <row r="137" spans="2:7">
      <c r="B137" s="62"/>
      <c r="C137" s="78">
        <v>6</v>
      </c>
      <c r="D137" s="64" t="s">
        <v>173</v>
      </c>
      <c r="E137" s="65">
        <v>42</v>
      </c>
      <c r="F137" s="60">
        <f t="shared" si="5"/>
        <v>43</v>
      </c>
      <c r="G137" s="61"/>
    </row>
    <row r="138" spans="2:7">
      <c r="B138" s="62"/>
      <c r="C138" s="78">
        <v>7</v>
      </c>
      <c r="D138" s="64" t="s">
        <v>174</v>
      </c>
      <c r="E138" s="65">
        <v>18</v>
      </c>
      <c r="F138" s="60">
        <f t="shared" si="5"/>
        <v>19</v>
      </c>
      <c r="G138" s="61"/>
    </row>
    <row r="139" spans="2:7">
      <c r="B139" s="62"/>
      <c r="C139" s="78">
        <v>8</v>
      </c>
      <c r="D139" s="64" t="s">
        <v>175</v>
      </c>
      <c r="E139" s="65">
        <v>30</v>
      </c>
      <c r="F139" s="60">
        <f t="shared" si="5"/>
        <v>31</v>
      </c>
      <c r="G139" s="61"/>
    </row>
    <row r="140" spans="2:7">
      <c r="B140" s="62"/>
      <c r="C140" s="78">
        <v>9</v>
      </c>
      <c r="D140" s="64" t="s">
        <v>176</v>
      </c>
      <c r="E140" s="65">
        <v>10</v>
      </c>
      <c r="F140" s="60">
        <f t="shared" si="5"/>
        <v>11</v>
      </c>
      <c r="G140" s="61"/>
    </row>
    <row r="141" spans="2:7">
      <c r="B141" s="62"/>
      <c r="C141" s="78">
        <v>10</v>
      </c>
      <c r="D141" s="64" t="s">
        <v>177</v>
      </c>
      <c r="E141" s="65">
        <v>23</v>
      </c>
      <c r="F141" s="60">
        <f t="shared" si="5"/>
        <v>24</v>
      </c>
      <c r="G141" s="61"/>
    </row>
    <row r="142" spans="2:7">
      <c r="B142" s="62"/>
      <c r="C142" s="78">
        <v>11</v>
      </c>
      <c r="D142" s="64" t="s">
        <v>178</v>
      </c>
      <c r="E142" s="65">
        <v>26</v>
      </c>
      <c r="F142" s="60">
        <f t="shared" si="5"/>
        <v>27</v>
      </c>
      <c r="G142" s="61"/>
    </row>
    <row r="143" spans="2:7">
      <c r="B143" s="62"/>
      <c r="C143" s="78">
        <v>12</v>
      </c>
      <c r="D143" s="64" t="s">
        <v>179</v>
      </c>
      <c r="E143" s="65">
        <v>26</v>
      </c>
      <c r="F143" s="60">
        <f t="shared" si="5"/>
        <v>27</v>
      </c>
      <c r="G143" s="61"/>
    </row>
    <row r="144" spans="2:7">
      <c r="B144" s="62"/>
      <c r="C144" s="78">
        <v>13</v>
      </c>
      <c r="D144" s="64" t="s">
        <v>180</v>
      </c>
      <c r="E144" s="65">
        <v>20</v>
      </c>
      <c r="F144" s="60">
        <f t="shared" si="5"/>
        <v>21</v>
      </c>
      <c r="G144" s="61"/>
    </row>
    <row r="145" spans="2:7">
      <c r="B145" s="62"/>
      <c r="C145" s="78">
        <v>14</v>
      </c>
      <c r="D145" s="64" t="s">
        <v>181</v>
      </c>
      <c r="E145" s="65">
        <v>12</v>
      </c>
      <c r="F145" s="60">
        <f t="shared" si="5"/>
        <v>13</v>
      </c>
      <c r="G145" s="61"/>
    </row>
    <row r="146" spans="2:7">
      <c r="B146" s="62"/>
      <c r="C146" s="78">
        <v>15</v>
      </c>
      <c r="D146" s="64" t="s">
        <v>182</v>
      </c>
      <c r="E146" s="65">
        <v>4</v>
      </c>
      <c r="F146" s="60">
        <f t="shared" si="5"/>
        <v>5</v>
      </c>
      <c r="G146" s="61"/>
    </row>
    <row r="147" spans="2:7">
      <c r="B147" s="62"/>
      <c r="C147" s="78">
        <v>16</v>
      </c>
      <c r="D147" s="64" t="s">
        <v>183</v>
      </c>
      <c r="E147" s="65">
        <v>15</v>
      </c>
      <c r="F147" s="60">
        <f t="shared" si="5"/>
        <v>16</v>
      </c>
      <c r="G147" s="61"/>
    </row>
    <row r="148" spans="2:7">
      <c r="B148" s="62"/>
      <c r="C148" s="78">
        <v>17</v>
      </c>
      <c r="D148" s="64" t="s">
        <v>184</v>
      </c>
      <c r="E148" s="65">
        <v>28</v>
      </c>
      <c r="F148" s="60">
        <f t="shared" si="5"/>
        <v>29</v>
      </c>
      <c r="G148" s="61"/>
    </row>
    <row r="149" spans="2:7">
      <c r="B149" s="62"/>
      <c r="C149" s="78">
        <v>18</v>
      </c>
      <c r="D149" s="64" t="s">
        <v>185</v>
      </c>
      <c r="E149" s="65">
        <v>19</v>
      </c>
      <c r="F149" s="60">
        <f t="shared" si="5"/>
        <v>20</v>
      </c>
      <c r="G149" s="61"/>
    </row>
    <row r="150" spans="2:7">
      <c r="B150" s="62"/>
      <c r="C150" s="78">
        <v>19</v>
      </c>
      <c r="D150" s="64" t="s">
        <v>186</v>
      </c>
      <c r="E150" s="65">
        <v>41</v>
      </c>
      <c r="F150" s="60">
        <f t="shared" si="5"/>
        <v>42</v>
      </c>
      <c r="G150" s="61"/>
    </row>
    <row r="151" spans="2:7">
      <c r="B151" s="62"/>
      <c r="C151" s="78">
        <v>20</v>
      </c>
      <c r="D151" s="64" t="s">
        <v>187</v>
      </c>
      <c r="E151" s="65">
        <v>18</v>
      </c>
      <c r="F151" s="60">
        <f t="shared" si="5"/>
        <v>19</v>
      </c>
      <c r="G151" s="61"/>
    </row>
    <row r="152" spans="2:7">
      <c r="B152" s="62"/>
      <c r="C152" s="79">
        <v>21</v>
      </c>
      <c r="D152" s="80" t="s">
        <v>188</v>
      </c>
      <c r="E152" s="81">
        <v>27</v>
      </c>
      <c r="F152" s="60">
        <f t="shared" si="5"/>
        <v>28</v>
      </c>
      <c r="G152" s="82"/>
    </row>
    <row r="153" spans="2:7" ht="19.5" thickBot="1">
      <c r="B153" s="83"/>
      <c r="C153" s="84">
        <v>22</v>
      </c>
      <c r="D153" s="70" t="s">
        <v>189</v>
      </c>
      <c r="E153" s="85">
        <v>75</v>
      </c>
      <c r="F153" s="86">
        <f t="shared" si="5"/>
        <v>76</v>
      </c>
      <c r="G153" s="87">
        <f>SUM(F132:F153)</f>
        <v>569</v>
      </c>
    </row>
    <row r="154" spans="2:7" ht="76.5">
      <c r="B154" s="88" t="s">
        <v>190</v>
      </c>
      <c r="C154" s="89">
        <v>1</v>
      </c>
      <c r="D154" s="90" t="s">
        <v>191</v>
      </c>
      <c r="E154" s="81">
        <v>46</v>
      </c>
      <c r="F154" s="76">
        <f t="shared" si="5"/>
        <v>47</v>
      </c>
      <c r="G154" s="77"/>
    </row>
    <row r="155" spans="2:7">
      <c r="B155" s="62"/>
      <c r="C155" s="78">
        <v>2</v>
      </c>
      <c r="D155" s="64" t="s">
        <v>192</v>
      </c>
      <c r="E155" s="65">
        <v>26</v>
      </c>
      <c r="F155" s="60">
        <f t="shared" si="5"/>
        <v>27</v>
      </c>
      <c r="G155" s="61"/>
    </row>
    <row r="156" spans="2:7">
      <c r="B156" s="62"/>
      <c r="C156" s="78">
        <v>3</v>
      </c>
      <c r="D156" s="64" t="s">
        <v>193</v>
      </c>
      <c r="E156" s="65">
        <v>44</v>
      </c>
      <c r="F156" s="60">
        <f t="shared" si="5"/>
        <v>45</v>
      </c>
      <c r="G156" s="61"/>
    </row>
    <row r="157" spans="2:7">
      <c r="B157" s="62"/>
      <c r="C157" s="78">
        <v>4</v>
      </c>
      <c r="D157" s="64" t="s">
        <v>194</v>
      </c>
      <c r="E157" s="65">
        <v>47</v>
      </c>
      <c r="F157" s="60">
        <f t="shared" si="5"/>
        <v>48</v>
      </c>
      <c r="G157" s="61"/>
    </row>
    <row r="158" spans="2:7">
      <c r="B158" s="62"/>
      <c r="C158" s="78">
        <v>5</v>
      </c>
      <c r="D158" s="66" t="s">
        <v>195</v>
      </c>
      <c r="E158" s="65">
        <v>18</v>
      </c>
      <c r="F158" s="67">
        <f>SUM(E158+1)</f>
        <v>19</v>
      </c>
      <c r="G158" s="61"/>
    </row>
    <row r="159" spans="2:7">
      <c r="B159" s="62"/>
      <c r="C159" s="78">
        <v>6</v>
      </c>
      <c r="D159" s="66" t="s">
        <v>196</v>
      </c>
      <c r="E159" s="65">
        <v>46</v>
      </c>
      <c r="F159" s="67">
        <f t="shared" si="5"/>
        <v>47</v>
      </c>
      <c r="G159" s="61"/>
    </row>
    <row r="160" spans="2:7">
      <c r="B160" s="62"/>
      <c r="C160" s="78">
        <v>7</v>
      </c>
      <c r="D160" s="64" t="s">
        <v>197</v>
      </c>
      <c r="E160" s="65">
        <v>24</v>
      </c>
      <c r="F160" s="60">
        <f t="shared" si="5"/>
        <v>25</v>
      </c>
      <c r="G160" s="61"/>
    </row>
    <row r="161" spans="1:7">
      <c r="B161" s="62"/>
      <c r="C161" s="78">
        <v>8</v>
      </c>
      <c r="D161" s="64" t="s">
        <v>198</v>
      </c>
      <c r="E161" s="65">
        <v>38</v>
      </c>
      <c r="F161" s="60">
        <f t="shared" si="5"/>
        <v>39</v>
      </c>
      <c r="G161" s="61"/>
    </row>
    <row r="162" spans="1:7">
      <c r="B162" s="62"/>
      <c r="C162" s="78">
        <v>9</v>
      </c>
      <c r="D162" s="64" t="s">
        <v>199</v>
      </c>
      <c r="E162" s="65">
        <v>20</v>
      </c>
      <c r="F162" s="60">
        <f t="shared" si="5"/>
        <v>21</v>
      </c>
      <c r="G162" s="61"/>
    </row>
    <row r="163" spans="1:7">
      <c r="B163" s="62"/>
      <c r="C163" s="78">
        <v>10</v>
      </c>
      <c r="D163" s="64" t="s">
        <v>200</v>
      </c>
      <c r="E163" s="65">
        <v>26</v>
      </c>
      <c r="F163" s="60">
        <f t="shared" si="5"/>
        <v>27</v>
      </c>
      <c r="G163" s="61"/>
    </row>
    <row r="164" spans="1:7">
      <c r="B164" s="62"/>
      <c r="C164" s="78">
        <v>11</v>
      </c>
      <c r="D164" s="64" t="s">
        <v>201</v>
      </c>
      <c r="E164" s="65">
        <v>26</v>
      </c>
      <c r="F164" s="60">
        <f t="shared" si="5"/>
        <v>27</v>
      </c>
      <c r="G164" s="61"/>
    </row>
    <row r="165" spans="1:7" ht="19.5" thickBot="1">
      <c r="B165" s="68"/>
      <c r="C165" s="91">
        <v>12</v>
      </c>
      <c r="D165" s="92" t="s">
        <v>202</v>
      </c>
      <c r="E165" s="85">
        <v>51</v>
      </c>
      <c r="F165" s="93">
        <f t="shared" si="5"/>
        <v>52</v>
      </c>
      <c r="G165" s="94">
        <f>SUM(F154:F165)</f>
        <v>424</v>
      </c>
    </row>
    <row r="166" spans="1:7" ht="76.5">
      <c r="A166" t="s">
        <v>246</v>
      </c>
      <c r="B166" s="95" t="s">
        <v>204</v>
      </c>
      <c r="C166" s="96">
        <v>1</v>
      </c>
      <c r="D166" s="96" t="s">
        <v>205</v>
      </c>
      <c r="E166" s="97">
        <v>49</v>
      </c>
      <c r="F166" s="98">
        <f>SUM(E166+1)</f>
        <v>50</v>
      </c>
      <c r="G166" s="99"/>
    </row>
    <row r="167" spans="1:7">
      <c r="B167" s="100"/>
      <c r="C167" s="4">
        <v>2</v>
      </c>
      <c r="D167" s="4" t="s">
        <v>206</v>
      </c>
      <c r="E167" s="101">
        <v>55</v>
      </c>
      <c r="F167" s="98">
        <f t="shared" ref="F167:F203" si="6">SUM(E167+1)</f>
        <v>56</v>
      </c>
      <c r="G167" s="99"/>
    </row>
    <row r="168" spans="1:7">
      <c r="B168" s="100"/>
      <c r="C168" s="4">
        <v>3</v>
      </c>
      <c r="D168" s="4" t="s">
        <v>207</v>
      </c>
      <c r="E168" s="101">
        <v>51</v>
      </c>
      <c r="F168" s="98">
        <f t="shared" si="6"/>
        <v>52</v>
      </c>
      <c r="G168" s="99"/>
    </row>
    <row r="169" spans="1:7">
      <c r="B169" s="100"/>
      <c r="C169" s="4">
        <v>4</v>
      </c>
      <c r="D169" s="4" t="s">
        <v>208</v>
      </c>
      <c r="E169" s="101">
        <v>71</v>
      </c>
      <c r="F169" s="98">
        <f t="shared" si="6"/>
        <v>72</v>
      </c>
      <c r="G169" s="99"/>
    </row>
    <row r="170" spans="1:7">
      <c r="B170" s="100"/>
      <c r="C170" s="4">
        <v>5</v>
      </c>
      <c r="D170" s="4" t="s">
        <v>209</v>
      </c>
      <c r="E170" s="101">
        <v>40</v>
      </c>
      <c r="F170" s="98">
        <f t="shared" si="6"/>
        <v>41</v>
      </c>
      <c r="G170" s="99"/>
    </row>
    <row r="171" spans="1:7">
      <c r="B171" s="100"/>
      <c r="C171" s="4">
        <v>6</v>
      </c>
      <c r="D171" s="4" t="s">
        <v>210</v>
      </c>
      <c r="E171" s="101">
        <v>70</v>
      </c>
      <c r="F171" s="98">
        <f t="shared" si="6"/>
        <v>71</v>
      </c>
      <c r="G171" s="99"/>
    </row>
    <row r="172" spans="1:7">
      <c r="B172" s="100"/>
      <c r="C172" s="4">
        <v>7</v>
      </c>
      <c r="D172" s="4" t="s">
        <v>211</v>
      </c>
      <c r="E172" s="101">
        <v>82</v>
      </c>
      <c r="F172" s="98">
        <f t="shared" si="6"/>
        <v>83</v>
      </c>
      <c r="G172" s="99"/>
    </row>
    <row r="173" spans="1:7">
      <c r="B173" s="100"/>
      <c r="C173" s="4">
        <v>8</v>
      </c>
      <c r="D173" s="4" t="s">
        <v>212</v>
      </c>
      <c r="E173" s="101">
        <v>68</v>
      </c>
      <c r="F173" s="98">
        <f t="shared" si="6"/>
        <v>69</v>
      </c>
      <c r="G173" s="99"/>
    </row>
    <row r="174" spans="1:7" ht="19.5" thickBot="1">
      <c r="B174" s="102"/>
      <c r="C174" s="103">
        <v>9</v>
      </c>
      <c r="D174" s="103" t="s">
        <v>213</v>
      </c>
      <c r="E174" s="104">
        <v>41</v>
      </c>
      <c r="F174" s="98">
        <f t="shared" si="6"/>
        <v>42</v>
      </c>
      <c r="G174" s="105">
        <f>SUM(F166:F174)</f>
        <v>536</v>
      </c>
    </row>
    <row r="175" spans="1:7" ht="76.5">
      <c r="B175" s="106" t="s">
        <v>214</v>
      </c>
      <c r="C175" s="107">
        <v>1</v>
      </c>
      <c r="D175" s="107" t="s">
        <v>215</v>
      </c>
      <c r="E175" s="108">
        <v>66</v>
      </c>
      <c r="F175" s="98">
        <f t="shared" si="6"/>
        <v>67</v>
      </c>
      <c r="G175" s="99"/>
    </row>
    <row r="176" spans="1:7">
      <c r="B176" s="100"/>
      <c r="C176" s="4">
        <v>2</v>
      </c>
      <c r="D176" s="4" t="s">
        <v>216</v>
      </c>
      <c r="E176" s="101">
        <v>102</v>
      </c>
      <c r="F176" s="98">
        <f t="shared" si="6"/>
        <v>103</v>
      </c>
      <c r="G176" s="99"/>
    </row>
    <row r="177" spans="2:7">
      <c r="B177" s="100"/>
      <c r="C177" s="4">
        <v>3</v>
      </c>
      <c r="D177" s="4" t="s">
        <v>217</v>
      </c>
      <c r="E177" s="101">
        <v>36</v>
      </c>
      <c r="F177" s="98">
        <f t="shared" si="6"/>
        <v>37</v>
      </c>
      <c r="G177" s="99"/>
    </row>
    <row r="178" spans="2:7">
      <c r="B178" s="100"/>
      <c r="C178" s="4">
        <v>4</v>
      </c>
      <c r="D178" s="4" t="s">
        <v>218</v>
      </c>
      <c r="E178" s="101">
        <v>32</v>
      </c>
      <c r="F178" s="98">
        <f t="shared" si="6"/>
        <v>33</v>
      </c>
      <c r="G178" s="99"/>
    </row>
    <row r="179" spans="2:7">
      <c r="B179" s="100"/>
      <c r="C179" s="4">
        <v>5</v>
      </c>
      <c r="D179" s="4" t="s">
        <v>219</v>
      </c>
      <c r="E179" s="101">
        <v>34</v>
      </c>
      <c r="F179" s="98">
        <f t="shared" si="6"/>
        <v>35</v>
      </c>
      <c r="G179" s="99"/>
    </row>
    <row r="180" spans="2:7">
      <c r="B180" s="100"/>
      <c r="C180" s="4">
        <v>6</v>
      </c>
      <c r="D180" s="4" t="s">
        <v>220</v>
      </c>
      <c r="E180" s="101">
        <v>50</v>
      </c>
      <c r="F180" s="98">
        <f t="shared" si="6"/>
        <v>51</v>
      </c>
      <c r="G180" s="99"/>
    </row>
    <row r="181" spans="2:7">
      <c r="B181" s="100"/>
      <c r="C181" s="4">
        <v>7</v>
      </c>
      <c r="D181" s="4" t="s">
        <v>221</v>
      </c>
      <c r="E181" s="101">
        <v>50</v>
      </c>
      <c r="F181" s="98">
        <f t="shared" si="6"/>
        <v>51</v>
      </c>
      <c r="G181" s="99"/>
    </row>
    <row r="182" spans="2:7">
      <c r="B182" s="100"/>
      <c r="C182" s="4">
        <v>8</v>
      </c>
      <c r="D182" s="4" t="s">
        <v>222</v>
      </c>
      <c r="E182" s="101">
        <v>63</v>
      </c>
      <c r="F182" s="98">
        <f t="shared" si="6"/>
        <v>64</v>
      </c>
      <c r="G182" s="99"/>
    </row>
    <row r="183" spans="2:7">
      <c r="B183" s="100"/>
      <c r="C183" s="4">
        <v>9</v>
      </c>
      <c r="D183" s="109" t="s">
        <v>223</v>
      </c>
      <c r="E183" s="101">
        <v>51</v>
      </c>
      <c r="F183" s="98">
        <f t="shared" si="6"/>
        <v>52</v>
      </c>
      <c r="G183" s="99"/>
    </row>
    <row r="184" spans="2:7">
      <c r="B184" s="100"/>
      <c r="C184" s="4">
        <v>10</v>
      </c>
      <c r="D184" s="4" t="s">
        <v>224</v>
      </c>
      <c r="E184" s="101">
        <v>45</v>
      </c>
      <c r="F184" s="98">
        <f t="shared" si="6"/>
        <v>46</v>
      </c>
      <c r="G184" s="99"/>
    </row>
    <row r="185" spans="2:7">
      <c r="B185" s="100"/>
      <c r="C185" s="4">
        <v>11</v>
      </c>
      <c r="D185" s="4" t="s">
        <v>225</v>
      </c>
      <c r="E185" s="101">
        <v>40</v>
      </c>
      <c r="F185" s="98">
        <f t="shared" si="6"/>
        <v>41</v>
      </c>
      <c r="G185" s="99"/>
    </row>
    <row r="186" spans="2:7">
      <c r="B186" s="100"/>
      <c r="C186" s="4">
        <v>12</v>
      </c>
      <c r="D186" s="4" t="s">
        <v>226</v>
      </c>
      <c r="E186" s="101">
        <v>37</v>
      </c>
      <c r="F186" s="98">
        <f t="shared" si="6"/>
        <v>38</v>
      </c>
      <c r="G186" s="99"/>
    </row>
    <row r="187" spans="2:7">
      <c r="B187" s="100"/>
      <c r="C187" s="4">
        <v>13</v>
      </c>
      <c r="D187" s="4" t="s">
        <v>227</v>
      </c>
      <c r="E187" s="101">
        <v>33</v>
      </c>
      <c r="F187" s="98">
        <f t="shared" si="6"/>
        <v>34</v>
      </c>
      <c r="G187" s="99"/>
    </row>
    <row r="188" spans="2:7">
      <c r="B188" s="100"/>
      <c r="C188" s="4">
        <v>14</v>
      </c>
      <c r="D188" s="4" t="s">
        <v>228</v>
      </c>
      <c r="E188" s="101">
        <v>18</v>
      </c>
      <c r="F188" s="98">
        <f t="shared" si="6"/>
        <v>19</v>
      </c>
      <c r="G188" s="99"/>
    </row>
    <row r="189" spans="2:7" ht="19.5" thickBot="1">
      <c r="B189" s="102"/>
      <c r="C189" s="103">
        <v>15</v>
      </c>
      <c r="D189" s="110" t="s">
        <v>229</v>
      </c>
      <c r="E189" s="104">
        <v>60</v>
      </c>
      <c r="F189" s="98">
        <f t="shared" si="6"/>
        <v>61</v>
      </c>
      <c r="G189" s="105">
        <f>SUM(F175:F189)</f>
        <v>732</v>
      </c>
    </row>
    <row r="190" spans="2:7" ht="76.5">
      <c r="B190" s="111" t="s">
        <v>230</v>
      </c>
      <c r="C190" s="112">
        <v>1</v>
      </c>
      <c r="D190" s="112" t="s">
        <v>231</v>
      </c>
      <c r="E190" s="113">
        <v>61</v>
      </c>
      <c r="F190" s="98">
        <f t="shared" si="6"/>
        <v>62</v>
      </c>
      <c r="G190" s="99"/>
    </row>
    <row r="191" spans="2:7">
      <c r="B191" s="100"/>
      <c r="C191" s="4">
        <v>2</v>
      </c>
      <c r="D191" s="4" t="s">
        <v>232</v>
      </c>
      <c r="E191" s="101">
        <v>51</v>
      </c>
      <c r="F191" s="98">
        <f t="shared" si="6"/>
        <v>52</v>
      </c>
      <c r="G191" s="99"/>
    </row>
    <row r="192" spans="2:7">
      <c r="B192" s="100"/>
      <c r="C192" s="4">
        <v>3</v>
      </c>
      <c r="D192" s="4" t="s">
        <v>233</v>
      </c>
      <c r="E192" s="101">
        <v>67</v>
      </c>
      <c r="F192" s="98">
        <f t="shared" si="6"/>
        <v>68</v>
      </c>
      <c r="G192" s="99"/>
    </row>
    <row r="193" spans="1:7">
      <c r="B193" s="100"/>
      <c r="C193" s="4">
        <v>4</v>
      </c>
      <c r="D193" s="4" t="s">
        <v>234</v>
      </c>
      <c r="E193" s="101">
        <v>43</v>
      </c>
      <c r="F193" s="98">
        <f t="shared" si="6"/>
        <v>44</v>
      </c>
      <c r="G193" s="99"/>
    </row>
    <row r="194" spans="1:7">
      <c r="B194" s="100"/>
      <c r="C194" s="4">
        <v>5</v>
      </c>
      <c r="D194" s="4" t="s">
        <v>235</v>
      </c>
      <c r="E194" s="101">
        <v>35</v>
      </c>
      <c r="F194" s="98">
        <f t="shared" si="6"/>
        <v>36</v>
      </c>
      <c r="G194" s="99"/>
    </row>
    <row r="195" spans="1:7">
      <c r="B195" s="100"/>
      <c r="C195" s="4">
        <v>6</v>
      </c>
      <c r="D195" s="4" t="s">
        <v>236</v>
      </c>
      <c r="E195" s="101">
        <v>28</v>
      </c>
      <c r="F195" s="98">
        <f t="shared" si="6"/>
        <v>29</v>
      </c>
      <c r="G195" s="99"/>
    </row>
    <row r="196" spans="1:7">
      <c r="B196" s="100"/>
      <c r="C196" s="4">
        <v>7</v>
      </c>
      <c r="D196" s="4" t="s">
        <v>237</v>
      </c>
      <c r="E196" s="101">
        <v>26</v>
      </c>
      <c r="F196" s="98">
        <f t="shared" si="6"/>
        <v>27</v>
      </c>
      <c r="G196" s="99"/>
    </row>
    <row r="197" spans="1:7">
      <c r="B197" s="100"/>
      <c r="C197" s="4">
        <v>8</v>
      </c>
      <c r="D197" s="4" t="s">
        <v>238</v>
      </c>
      <c r="E197" s="101">
        <v>23</v>
      </c>
      <c r="F197" s="98">
        <f t="shared" si="6"/>
        <v>24</v>
      </c>
      <c r="G197" s="99"/>
    </row>
    <row r="198" spans="1:7">
      <c r="B198" s="100"/>
      <c r="C198" s="4">
        <v>9</v>
      </c>
      <c r="D198" s="4" t="s">
        <v>239</v>
      </c>
      <c r="E198" s="101">
        <v>50</v>
      </c>
      <c r="F198" s="98">
        <f t="shared" si="6"/>
        <v>51</v>
      </c>
      <c r="G198" s="99"/>
    </row>
    <row r="199" spans="1:7">
      <c r="B199" s="100"/>
      <c r="C199" s="4">
        <v>10</v>
      </c>
      <c r="D199" s="4" t="s">
        <v>240</v>
      </c>
      <c r="E199" s="101">
        <v>51</v>
      </c>
      <c r="F199" s="98">
        <f t="shared" si="6"/>
        <v>52</v>
      </c>
      <c r="G199" s="99"/>
    </row>
    <row r="200" spans="1:7">
      <c r="B200" s="100"/>
      <c r="C200" s="4">
        <v>11</v>
      </c>
      <c r="D200" s="4" t="s">
        <v>241</v>
      </c>
      <c r="E200" s="101">
        <v>48</v>
      </c>
      <c r="F200" s="98">
        <f t="shared" si="6"/>
        <v>49</v>
      </c>
      <c r="G200" s="99"/>
    </row>
    <row r="201" spans="1:7">
      <c r="B201" s="100"/>
      <c r="C201" s="4">
        <v>12</v>
      </c>
      <c r="D201" s="4" t="s">
        <v>242</v>
      </c>
      <c r="E201" s="101">
        <v>20</v>
      </c>
      <c r="F201" s="98">
        <f t="shared" si="6"/>
        <v>21</v>
      </c>
      <c r="G201" s="99"/>
    </row>
    <row r="202" spans="1:7">
      <c r="B202" s="100"/>
      <c r="C202" s="4">
        <v>13</v>
      </c>
      <c r="D202" s="4" t="s">
        <v>243</v>
      </c>
      <c r="E202" s="101">
        <v>35</v>
      </c>
      <c r="F202" s="98">
        <f t="shared" si="6"/>
        <v>36</v>
      </c>
      <c r="G202" s="99"/>
    </row>
    <row r="203" spans="1:7" ht="19.5" thickBot="1">
      <c r="B203" s="114"/>
      <c r="C203" s="115">
        <v>14</v>
      </c>
      <c r="D203" s="115" t="s">
        <v>244</v>
      </c>
      <c r="E203" s="116">
        <v>58</v>
      </c>
      <c r="F203" s="117">
        <f t="shared" si="6"/>
        <v>59</v>
      </c>
      <c r="G203" s="105">
        <f>SUM(F190:F203)</f>
        <v>610</v>
      </c>
    </row>
    <row r="204" spans="1:7" ht="76.5">
      <c r="A204" t="s">
        <v>247</v>
      </c>
      <c r="B204" s="106" t="s">
        <v>248</v>
      </c>
      <c r="C204" s="14">
        <v>1</v>
      </c>
      <c r="D204" s="118" t="s">
        <v>249</v>
      </c>
      <c r="E204" s="119">
        <v>126</v>
      </c>
      <c r="F204" s="120">
        <f>SUM(E204+1)</f>
        <v>127</v>
      </c>
      <c r="G204" s="121"/>
    </row>
    <row r="205" spans="1:7">
      <c r="B205" s="16"/>
      <c r="C205" s="7">
        <v>2</v>
      </c>
      <c r="D205" s="109" t="s">
        <v>250</v>
      </c>
      <c r="E205" s="122">
        <v>78</v>
      </c>
      <c r="F205" s="98">
        <f t="shared" ref="F205:F231" si="7">SUM(E205+1)</f>
        <v>79</v>
      </c>
      <c r="G205" s="121"/>
    </row>
    <row r="206" spans="1:7">
      <c r="B206" s="16"/>
      <c r="C206" s="7">
        <v>3</v>
      </c>
      <c r="D206" s="123" t="s">
        <v>251</v>
      </c>
      <c r="E206" s="122">
        <v>105</v>
      </c>
      <c r="F206" s="98">
        <f t="shared" si="7"/>
        <v>106</v>
      </c>
      <c r="G206" s="121"/>
    </row>
    <row r="207" spans="1:7">
      <c r="B207" s="16"/>
      <c r="C207" s="7">
        <v>4</v>
      </c>
      <c r="D207" s="124" t="s">
        <v>252</v>
      </c>
      <c r="E207" s="122">
        <v>71</v>
      </c>
      <c r="F207" s="98">
        <f t="shared" si="7"/>
        <v>72</v>
      </c>
      <c r="G207" s="121"/>
    </row>
    <row r="208" spans="1:7">
      <c r="B208" s="16"/>
      <c r="C208" s="7">
        <v>5</v>
      </c>
      <c r="D208" s="123" t="s">
        <v>253</v>
      </c>
      <c r="E208" s="122">
        <v>80</v>
      </c>
      <c r="F208" s="98">
        <f t="shared" si="7"/>
        <v>81</v>
      </c>
      <c r="G208" s="121"/>
    </row>
    <row r="209" spans="2:7">
      <c r="B209" s="16"/>
      <c r="C209" s="7">
        <v>6</v>
      </c>
      <c r="D209" s="123" t="s">
        <v>254</v>
      </c>
      <c r="E209" s="122">
        <v>126</v>
      </c>
      <c r="F209" s="125">
        <f t="shared" si="7"/>
        <v>127</v>
      </c>
      <c r="G209" s="121"/>
    </row>
    <row r="210" spans="2:7">
      <c r="B210" s="16"/>
      <c r="C210" s="7">
        <v>7</v>
      </c>
      <c r="D210" s="123" t="s">
        <v>255</v>
      </c>
      <c r="E210" s="122">
        <v>122</v>
      </c>
      <c r="F210" s="125">
        <f t="shared" si="7"/>
        <v>123</v>
      </c>
      <c r="G210" s="121"/>
    </row>
    <row r="211" spans="2:7">
      <c r="B211" s="16"/>
      <c r="C211" s="7">
        <v>8</v>
      </c>
      <c r="D211" s="123" t="s">
        <v>256</v>
      </c>
      <c r="E211" s="122">
        <v>63</v>
      </c>
      <c r="F211" s="125">
        <f t="shared" si="7"/>
        <v>64</v>
      </c>
      <c r="G211" s="121"/>
    </row>
    <row r="212" spans="2:7">
      <c r="B212" s="16"/>
      <c r="C212" s="7">
        <v>9</v>
      </c>
      <c r="D212" s="123" t="s">
        <v>257</v>
      </c>
      <c r="E212" s="122">
        <v>192</v>
      </c>
      <c r="F212" s="125">
        <f t="shared" si="7"/>
        <v>193</v>
      </c>
      <c r="G212" s="121"/>
    </row>
    <row r="213" spans="2:7">
      <c r="B213" s="16"/>
      <c r="C213" s="7">
        <v>10</v>
      </c>
      <c r="D213" s="123" t="s">
        <v>258</v>
      </c>
      <c r="E213" s="122">
        <v>125</v>
      </c>
      <c r="F213" s="98">
        <f t="shared" si="7"/>
        <v>126</v>
      </c>
      <c r="G213" s="121"/>
    </row>
    <row r="214" spans="2:7">
      <c r="B214" s="16"/>
      <c r="C214" s="7">
        <v>11</v>
      </c>
      <c r="D214" s="123" t="s">
        <v>259</v>
      </c>
      <c r="E214" s="122">
        <v>90</v>
      </c>
      <c r="F214" s="98">
        <f t="shared" si="7"/>
        <v>91</v>
      </c>
      <c r="G214" s="121"/>
    </row>
    <row r="215" spans="2:7">
      <c r="B215" s="16"/>
      <c r="C215" s="7">
        <v>12</v>
      </c>
      <c r="D215" s="123" t="s">
        <v>260</v>
      </c>
      <c r="E215" s="122">
        <v>182</v>
      </c>
      <c r="F215" s="98">
        <f t="shared" si="7"/>
        <v>183</v>
      </c>
      <c r="G215" s="121"/>
    </row>
    <row r="216" spans="2:7" ht="19.5" thickBot="1">
      <c r="B216" s="18"/>
      <c r="C216" s="11">
        <v>13</v>
      </c>
      <c r="D216" s="126" t="s">
        <v>261</v>
      </c>
      <c r="E216" s="127">
        <v>346</v>
      </c>
      <c r="F216" s="98">
        <f t="shared" si="7"/>
        <v>347</v>
      </c>
      <c r="G216" s="128">
        <f>SUM(F204:F216)</f>
        <v>1719</v>
      </c>
    </row>
    <row r="217" spans="2:7" ht="76.5">
      <c r="B217" s="129" t="s">
        <v>262</v>
      </c>
      <c r="C217" s="130">
        <v>1</v>
      </c>
      <c r="D217" s="131" t="s">
        <v>263</v>
      </c>
      <c r="E217" s="132">
        <v>146</v>
      </c>
      <c r="F217" s="98">
        <f t="shared" si="7"/>
        <v>147</v>
      </c>
      <c r="G217" s="121"/>
    </row>
    <row r="218" spans="2:7">
      <c r="B218" s="133"/>
      <c r="C218" s="134">
        <v>2</v>
      </c>
      <c r="D218" s="123" t="s">
        <v>264</v>
      </c>
      <c r="E218" s="122">
        <v>130</v>
      </c>
      <c r="F218" s="98">
        <f t="shared" si="7"/>
        <v>131</v>
      </c>
      <c r="G218" s="121"/>
    </row>
    <row r="219" spans="2:7">
      <c r="B219" s="133"/>
      <c r="C219" s="134">
        <v>3</v>
      </c>
      <c r="D219" s="123" t="s">
        <v>265</v>
      </c>
      <c r="E219" s="122">
        <v>155</v>
      </c>
      <c r="F219" s="98">
        <f t="shared" si="7"/>
        <v>156</v>
      </c>
      <c r="G219" s="121"/>
    </row>
    <row r="220" spans="2:7">
      <c r="B220" s="133"/>
      <c r="C220" s="134">
        <v>4</v>
      </c>
      <c r="D220" s="123" t="s">
        <v>266</v>
      </c>
      <c r="E220" s="122">
        <v>140</v>
      </c>
      <c r="F220" s="98">
        <f t="shared" si="7"/>
        <v>141</v>
      </c>
      <c r="G220" s="121"/>
    </row>
    <row r="221" spans="2:7">
      <c r="B221" s="133"/>
      <c r="C221" s="134">
        <v>5</v>
      </c>
      <c r="D221" s="123" t="s">
        <v>267</v>
      </c>
      <c r="E221" s="122">
        <v>126</v>
      </c>
      <c r="F221" s="98">
        <f t="shared" si="7"/>
        <v>127</v>
      </c>
      <c r="G221" s="121"/>
    </row>
    <row r="222" spans="2:7" ht="19.5" thickBot="1">
      <c r="B222" s="135"/>
      <c r="C222" s="136">
        <v>6</v>
      </c>
      <c r="D222" s="126" t="s">
        <v>268</v>
      </c>
      <c r="E222" s="127">
        <v>37</v>
      </c>
      <c r="F222" s="98">
        <f t="shared" si="7"/>
        <v>38</v>
      </c>
      <c r="G222" s="128">
        <f>SUM(F217:F222)</f>
        <v>740</v>
      </c>
    </row>
    <row r="223" spans="2:7" ht="76.5">
      <c r="B223" s="137" t="s">
        <v>269</v>
      </c>
      <c r="C223" s="138">
        <v>1</v>
      </c>
      <c r="D223" s="139" t="s">
        <v>270</v>
      </c>
      <c r="E223" s="119">
        <v>50</v>
      </c>
      <c r="F223" s="98">
        <f t="shared" si="7"/>
        <v>51</v>
      </c>
      <c r="G223" s="121"/>
    </row>
    <row r="224" spans="2:7" ht="20.25">
      <c r="B224" s="133"/>
      <c r="C224" s="140">
        <v>2</v>
      </c>
      <c r="D224" s="141" t="s">
        <v>271</v>
      </c>
      <c r="E224" s="122">
        <v>18</v>
      </c>
      <c r="F224" s="98">
        <f t="shared" si="7"/>
        <v>19</v>
      </c>
      <c r="G224" s="121"/>
    </row>
    <row r="225" spans="1:7">
      <c r="B225" s="133"/>
      <c r="C225" s="134">
        <v>3</v>
      </c>
      <c r="D225" s="141" t="s">
        <v>272</v>
      </c>
      <c r="E225" s="122">
        <v>54</v>
      </c>
      <c r="F225" s="98">
        <f t="shared" si="7"/>
        <v>55</v>
      </c>
      <c r="G225" s="121"/>
    </row>
    <row r="226" spans="1:7">
      <c r="B226" s="133"/>
      <c r="C226" s="134">
        <v>4</v>
      </c>
      <c r="D226" s="142" t="s">
        <v>273</v>
      </c>
      <c r="E226" s="122">
        <v>106</v>
      </c>
      <c r="F226" s="98">
        <f t="shared" si="7"/>
        <v>107</v>
      </c>
      <c r="G226" s="121"/>
    </row>
    <row r="227" spans="1:7">
      <c r="B227" s="133"/>
      <c r="C227" s="134">
        <v>5</v>
      </c>
      <c r="D227" s="142" t="s">
        <v>274</v>
      </c>
      <c r="E227" s="122">
        <v>59</v>
      </c>
      <c r="F227" s="98">
        <f t="shared" si="7"/>
        <v>60</v>
      </c>
      <c r="G227" s="121"/>
    </row>
    <row r="228" spans="1:7">
      <c r="B228" s="133"/>
      <c r="C228" s="134">
        <v>6</v>
      </c>
      <c r="D228" s="142" t="s">
        <v>275</v>
      </c>
      <c r="E228" s="122">
        <v>49</v>
      </c>
      <c r="F228" s="98">
        <f t="shared" si="7"/>
        <v>50</v>
      </c>
      <c r="G228" s="121"/>
    </row>
    <row r="229" spans="1:7">
      <c r="B229" s="133"/>
      <c r="C229" s="134">
        <v>7</v>
      </c>
      <c r="D229" s="142" t="s">
        <v>276</v>
      </c>
      <c r="E229" s="122">
        <v>27</v>
      </c>
      <c r="F229" s="98">
        <f t="shared" si="7"/>
        <v>28</v>
      </c>
      <c r="G229" s="121"/>
    </row>
    <row r="230" spans="1:7">
      <c r="B230" s="133"/>
      <c r="C230" s="134">
        <v>8</v>
      </c>
      <c r="D230" s="142" t="s">
        <v>277</v>
      </c>
      <c r="E230" s="122">
        <v>70</v>
      </c>
      <c r="F230" s="98">
        <f t="shared" si="7"/>
        <v>71</v>
      </c>
      <c r="G230" s="121"/>
    </row>
    <row r="231" spans="1:7" ht="19.5" thickBot="1">
      <c r="B231" s="135"/>
      <c r="C231" s="136">
        <v>9</v>
      </c>
      <c r="D231" s="143" t="s">
        <v>278</v>
      </c>
      <c r="E231" s="127">
        <v>48</v>
      </c>
      <c r="F231" s="144">
        <f t="shared" si="7"/>
        <v>49</v>
      </c>
      <c r="G231" s="128">
        <f>SUM(F223:F231)</f>
        <v>490</v>
      </c>
    </row>
    <row r="232" spans="1:7" ht="76.5">
      <c r="A232" t="s">
        <v>312</v>
      </c>
      <c r="B232" s="106" t="s">
        <v>279</v>
      </c>
      <c r="C232" s="118">
        <v>1</v>
      </c>
      <c r="D232" s="145" t="s">
        <v>280</v>
      </c>
      <c r="E232" s="146">
        <v>59</v>
      </c>
      <c r="F232" s="147">
        <f>SUM(E232+1)</f>
        <v>60</v>
      </c>
      <c r="G232" s="99"/>
    </row>
    <row r="233" spans="1:7">
      <c r="B233" s="16"/>
      <c r="C233" s="123">
        <f t="shared" ref="C233:C243" si="8">1+C232</f>
        <v>2</v>
      </c>
      <c r="D233" s="148" t="s">
        <v>281</v>
      </c>
      <c r="E233" s="149">
        <v>104</v>
      </c>
      <c r="F233" s="67">
        <f t="shared" ref="F233:F260" si="9">SUM(E233+1)</f>
        <v>105</v>
      </c>
      <c r="G233" s="99"/>
    </row>
    <row r="234" spans="1:7">
      <c r="B234" s="16"/>
      <c r="C234" s="123">
        <f t="shared" si="8"/>
        <v>3</v>
      </c>
      <c r="D234" s="148" t="s">
        <v>282</v>
      </c>
      <c r="E234" s="149">
        <v>30</v>
      </c>
      <c r="F234" s="67">
        <f t="shared" si="9"/>
        <v>31</v>
      </c>
      <c r="G234" s="99"/>
    </row>
    <row r="235" spans="1:7">
      <c r="B235" s="16"/>
      <c r="C235" s="123">
        <f t="shared" si="8"/>
        <v>4</v>
      </c>
      <c r="D235" s="148" t="s">
        <v>283</v>
      </c>
      <c r="E235" s="149">
        <v>50</v>
      </c>
      <c r="F235" s="67">
        <f t="shared" si="9"/>
        <v>51</v>
      </c>
      <c r="G235" s="99"/>
    </row>
    <row r="236" spans="1:7">
      <c r="B236" s="16"/>
      <c r="C236" s="123">
        <f t="shared" si="8"/>
        <v>5</v>
      </c>
      <c r="D236" s="148" t="s">
        <v>284</v>
      </c>
      <c r="E236" s="149">
        <v>27</v>
      </c>
      <c r="F236" s="67">
        <f t="shared" si="9"/>
        <v>28</v>
      </c>
      <c r="G236" s="99"/>
    </row>
    <row r="237" spans="1:7">
      <c r="B237" s="16"/>
      <c r="C237" s="123">
        <f t="shared" si="8"/>
        <v>6</v>
      </c>
      <c r="D237" s="148" t="s">
        <v>285</v>
      </c>
      <c r="E237" s="149">
        <v>37</v>
      </c>
      <c r="F237" s="67">
        <f t="shared" si="9"/>
        <v>38</v>
      </c>
      <c r="G237" s="99"/>
    </row>
    <row r="238" spans="1:7">
      <c r="B238" s="16"/>
      <c r="C238" s="109">
        <f t="shared" si="8"/>
        <v>7</v>
      </c>
      <c r="D238" s="150" t="s">
        <v>286</v>
      </c>
      <c r="E238" s="149">
        <v>24</v>
      </c>
      <c r="F238" s="67">
        <f t="shared" si="9"/>
        <v>25</v>
      </c>
      <c r="G238" s="99"/>
    </row>
    <row r="239" spans="1:7">
      <c r="B239" s="16"/>
      <c r="C239" s="123">
        <f t="shared" si="8"/>
        <v>8</v>
      </c>
      <c r="D239" s="151" t="s">
        <v>287</v>
      </c>
      <c r="E239" s="149">
        <v>32</v>
      </c>
      <c r="F239" s="67">
        <f t="shared" si="9"/>
        <v>33</v>
      </c>
      <c r="G239" s="99"/>
    </row>
    <row r="240" spans="1:7">
      <c r="B240" s="16"/>
      <c r="C240" s="123">
        <f t="shared" si="8"/>
        <v>9</v>
      </c>
      <c r="D240" s="152" t="s">
        <v>288</v>
      </c>
      <c r="E240" s="149">
        <v>96</v>
      </c>
      <c r="F240" s="67">
        <f t="shared" si="9"/>
        <v>97</v>
      </c>
      <c r="G240" s="99"/>
    </row>
    <row r="241" spans="2:7">
      <c r="B241" s="16"/>
      <c r="C241" s="123">
        <f t="shared" si="8"/>
        <v>10</v>
      </c>
      <c r="D241" s="148" t="s">
        <v>289</v>
      </c>
      <c r="E241" s="149">
        <v>23</v>
      </c>
      <c r="F241" s="67">
        <f t="shared" si="9"/>
        <v>24</v>
      </c>
      <c r="G241" s="99"/>
    </row>
    <row r="242" spans="2:7">
      <c r="B242" s="16"/>
      <c r="C242" s="123">
        <f t="shared" si="8"/>
        <v>11</v>
      </c>
      <c r="D242" s="148" t="s">
        <v>290</v>
      </c>
      <c r="E242" s="149">
        <v>59</v>
      </c>
      <c r="F242" s="67">
        <f t="shared" si="9"/>
        <v>60</v>
      </c>
      <c r="G242" s="99"/>
    </row>
    <row r="243" spans="2:7" ht="19.5" thickBot="1">
      <c r="B243" s="18"/>
      <c r="C243" s="126">
        <f t="shared" si="8"/>
        <v>12</v>
      </c>
      <c r="D243" s="153" t="s">
        <v>291</v>
      </c>
      <c r="E243" s="154">
        <v>44</v>
      </c>
      <c r="F243" s="93">
        <f t="shared" si="9"/>
        <v>45</v>
      </c>
      <c r="G243" s="99">
        <f>SUM(F232:F243)</f>
        <v>597</v>
      </c>
    </row>
    <row r="244" spans="2:7" ht="95.25">
      <c r="B244" s="106" t="s">
        <v>292</v>
      </c>
      <c r="C244" s="118">
        <v>1</v>
      </c>
      <c r="D244" s="145" t="s">
        <v>293</v>
      </c>
      <c r="E244" s="146">
        <v>73</v>
      </c>
      <c r="F244" s="147">
        <f t="shared" si="9"/>
        <v>74</v>
      </c>
      <c r="G244" s="99"/>
    </row>
    <row r="245" spans="2:7">
      <c r="B245" s="155"/>
      <c r="C245" s="123">
        <f t="shared" ref="C245:C252" si="10">1+C244</f>
        <v>2</v>
      </c>
      <c r="D245" s="148" t="s">
        <v>294</v>
      </c>
      <c r="E245" s="149">
        <v>24</v>
      </c>
      <c r="F245" s="67">
        <f t="shared" si="9"/>
        <v>25</v>
      </c>
      <c r="G245" s="99"/>
    </row>
    <row r="246" spans="2:7">
      <c r="B246" s="155"/>
      <c r="C246" s="123">
        <f t="shared" si="10"/>
        <v>3</v>
      </c>
      <c r="D246" s="148" t="s">
        <v>295</v>
      </c>
      <c r="E246" s="149">
        <v>46</v>
      </c>
      <c r="F246" s="67">
        <f t="shared" si="9"/>
        <v>47</v>
      </c>
      <c r="G246" s="99"/>
    </row>
    <row r="247" spans="2:7">
      <c r="B247" s="155"/>
      <c r="C247" s="109">
        <f t="shared" si="10"/>
        <v>4</v>
      </c>
      <c r="D247" s="156" t="s">
        <v>296</v>
      </c>
      <c r="E247" s="149">
        <v>96</v>
      </c>
      <c r="F247" s="67">
        <f t="shared" si="9"/>
        <v>97</v>
      </c>
      <c r="G247" s="99"/>
    </row>
    <row r="248" spans="2:7">
      <c r="B248" s="155"/>
      <c r="C248" s="123">
        <f t="shared" si="10"/>
        <v>5</v>
      </c>
      <c r="D248" s="148" t="s">
        <v>297</v>
      </c>
      <c r="E248" s="149">
        <v>65</v>
      </c>
      <c r="F248" s="67">
        <f t="shared" si="9"/>
        <v>66</v>
      </c>
      <c r="G248" s="99"/>
    </row>
    <row r="249" spans="2:7">
      <c r="B249" s="155"/>
      <c r="C249" s="123">
        <f t="shared" si="10"/>
        <v>6</v>
      </c>
      <c r="D249" s="148" t="s">
        <v>298</v>
      </c>
      <c r="E249" s="149">
        <v>27</v>
      </c>
      <c r="F249" s="67">
        <f t="shared" si="9"/>
        <v>28</v>
      </c>
      <c r="G249" s="99"/>
    </row>
    <row r="250" spans="2:7">
      <c r="B250" s="155"/>
      <c r="C250" s="123">
        <f t="shared" si="10"/>
        <v>7</v>
      </c>
      <c r="D250" s="148" t="s">
        <v>299</v>
      </c>
      <c r="E250" s="149">
        <v>27</v>
      </c>
      <c r="F250" s="67">
        <f t="shared" si="9"/>
        <v>28</v>
      </c>
      <c r="G250" s="99"/>
    </row>
    <row r="251" spans="2:7">
      <c r="B251" s="155"/>
      <c r="C251" s="123">
        <f t="shared" si="10"/>
        <v>8</v>
      </c>
      <c r="D251" s="148" t="s">
        <v>300</v>
      </c>
      <c r="E251" s="149">
        <v>15</v>
      </c>
      <c r="F251" s="67">
        <f t="shared" si="9"/>
        <v>16</v>
      </c>
      <c r="G251" s="99"/>
    </row>
    <row r="252" spans="2:7" ht="19.5" thickBot="1">
      <c r="B252" s="157"/>
      <c r="C252" s="126">
        <f t="shared" si="10"/>
        <v>9</v>
      </c>
      <c r="D252" s="153" t="s">
        <v>301</v>
      </c>
      <c r="E252" s="154">
        <v>28</v>
      </c>
      <c r="F252" s="93">
        <f t="shared" si="9"/>
        <v>29</v>
      </c>
      <c r="G252" s="99">
        <f>SUM(F244:F252)</f>
        <v>410</v>
      </c>
    </row>
    <row r="253" spans="2:7" ht="76.5">
      <c r="B253" s="106" t="s">
        <v>302</v>
      </c>
      <c r="C253" s="131">
        <v>1</v>
      </c>
      <c r="D253" s="158" t="s">
        <v>303</v>
      </c>
      <c r="E253" s="146">
        <v>59</v>
      </c>
      <c r="F253" s="147">
        <f>SUM(E253+1)</f>
        <v>60</v>
      </c>
      <c r="G253" s="99"/>
    </row>
    <row r="254" spans="2:7">
      <c r="B254" s="16"/>
      <c r="C254" s="123">
        <f t="shared" ref="C254:C260" si="11">1+C253</f>
        <v>2</v>
      </c>
      <c r="D254" s="148" t="s">
        <v>304</v>
      </c>
      <c r="E254" s="149">
        <v>46</v>
      </c>
      <c r="F254" s="67">
        <f t="shared" si="9"/>
        <v>47</v>
      </c>
      <c r="G254" s="99"/>
    </row>
    <row r="255" spans="2:7">
      <c r="B255" s="16"/>
      <c r="C255" s="123">
        <f t="shared" si="11"/>
        <v>3</v>
      </c>
      <c r="D255" s="148" t="s">
        <v>305</v>
      </c>
      <c r="E255" s="149">
        <v>50</v>
      </c>
      <c r="F255" s="67">
        <f t="shared" si="9"/>
        <v>51</v>
      </c>
      <c r="G255" s="99"/>
    </row>
    <row r="256" spans="2:7">
      <c r="B256" s="16"/>
      <c r="C256" s="109">
        <f t="shared" si="11"/>
        <v>4</v>
      </c>
      <c r="D256" s="156" t="s">
        <v>306</v>
      </c>
      <c r="E256" s="149">
        <v>34</v>
      </c>
      <c r="F256" s="67">
        <f t="shared" si="9"/>
        <v>35</v>
      </c>
      <c r="G256" s="99"/>
    </row>
    <row r="257" spans="1:7">
      <c r="B257" s="16"/>
      <c r="C257" s="159">
        <f t="shared" si="11"/>
        <v>5</v>
      </c>
      <c r="D257" s="148" t="s">
        <v>307</v>
      </c>
      <c r="E257" s="149">
        <v>30</v>
      </c>
      <c r="F257" s="67">
        <f t="shared" si="9"/>
        <v>31</v>
      </c>
      <c r="G257" s="99"/>
    </row>
    <row r="258" spans="1:7">
      <c r="B258" s="16"/>
      <c r="C258" s="123">
        <f t="shared" si="11"/>
        <v>6</v>
      </c>
      <c r="D258" s="160" t="s">
        <v>308</v>
      </c>
      <c r="E258" s="149">
        <v>27</v>
      </c>
      <c r="F258" s="67">
        <f t="shared" si="9"/>
        <v>28</v>
      </c>
      <c r="G258" s="99"/>
    </row>
    <row r="259" spans="1:7">
      <c r="B259" s="16"/>
      <c r="C259" s="123">
        <f t="shared" si="11"/>
        <v>7</v>
      </c>
      <c r="D259" s="148" t="s">
        <v>309</v>
      </c>
      <c r="E259" s="161">
        <v>44</v>
      </c>
      <c r="F259" s="67">
        <f t="shared" si="9"/>
        <v>45</v>
      </c>
      <c r="G259" s="99"/>
    </row>
    <row r="260" spans="1:7" ht="19.5" thickBot="1">
      <c r="B260" s="18"/>
      <c r="C260" s="126">
        <f t="shared" si="11"/>
        <v>8</v>
      </c>
      <c r="D260" s="153" t="s">
        <v>310</v>
      </c>
      <c r="E260" s="162">
        <v>38</v>
      </c>
      <c r="F260" s="93">
        <f t="shared" si="9"/>
        <v>39</v>
      </c>
      <c r="G260" s="99">
        <f>SUM(F253:F260)</f>
        <v>336</v>
      </c>
    </row>
    <row r="261" spans="1:7">
      <c r="A261" t="s">
        <v>319</v>
      </c>
      <c r="B261" t="s">
        <v>319</v>
      </c>
      <c r="C261">
        <v>1</v>
      </c>
      <c r="D261" s="163" t="s">
        <v>313</v>
      </c>
      <c r="E261" s="164">
        <v>50</v>
      </c>
    </row>
    <row r="262" spans="1:7">
      <c r="C262">
        <v>2</v>
      </c>
      <c r="D262" s="165" t="s">
        <v>314</v>
      </c>
      <c r="E262" s="166">
        <v>25</v>
      </c>
    </row>
    <row r="263" spans="1:7">
      <c r="C263">
        <v>3</v>
      </c>
      <c r="D263" s="165" t="s">
        <v>315</v>
      </c>
      <c r="E263" s="166">
        <v>75</v>
      </c>
    </row>
    <row r="264" spans="1:7">
      <c r="C264">
        <v>4</v>
      </c>
      <c r="D264" s="165" t="s">
        <v>316</v>
      </c>
      <c r="E264" s="167">
        <v>40</v>
      </c>
    </row>
    <row r="265" spans="1:7">
      <c r="C265">
        <v>5</v>
      </c>
      <c r="D265" s="168" t="s">
        <v>317</v>
      </c>
      <c r="E265" s="167">
        <v>686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7"/>
  <sheetViews>
    <sheetView tabSelected="1" zoomScale="85" zoomScaleNormal="85" workbookViewId="0">
      <selection activeCell="H2" sqref="H2"/>
    </sheetView>
  </sheetViews>
  <sheetFormatPr defaultRowHeight="18.75"/>
  <cols>
    <col min="4" max="4" width="17.25" bestFit="1" customWidth="1"/>
    <col min="7" max="7" width="31.5" bestFit="1" customWidth="1"/>
  </cols>
  <sheetData>
    <row r="1" spans="1:8">
      <c r="A1" s="196" t="s">
        <v>0</v>
      </c>
      <c r="B1" s="197" t="s">
        <v>1</v>
      </c>
      <c r="C1" s="197" t="s">
        <v>2</v>
      </c>
      <c r="D1" s="197" t="s">
        <v>3</v>
      </c>
      <c r="E1" s="197" t="s">
        <v>4</v>
      </c>
      <c r="F1" s="197" t="s">
        <v>333</v>
      </c>
      <c r="G1" s="198" t="s">
        <v>334</v>
      </c>
      <c r="H1" s="198" t="s">
        <v>335</v>
      </c>
    </row>
    <row r="2" spans="1:8">
      <c r="A2" s="171" t="s">
        <v>5</v>
      </c>
      <c r="B2" s="174" t="s">
        <v>150</v>
      </c>
      <c r="C2" s="175" t="s">
        <v>6</v>
      </c>
      <c r="D2" s="174" t="s">
        <v>7</v>
      </c>
      <c r="E2" s="176">
        <v>270</v>
      </c>
      <c r="F2" s="177">
        <f>SUM(E2+1)</f>
        <v>271</v>
      </c>
      <c r="G2" s="178"/>
      <c r="H2" s="199">
        <f>F2-E2</f>
        <v>1</v>
      </c>
    </row>
    <row r="3" spans="1:8">
      <c r="A3" s="171" t="str">
        <f>A2</f>
        <v>山鹿地域</v>
      </c>
      <c r="B3" s="174" t="str">
        <f t="shared" ref="B3:B30" si="0">B2</f>
        <v>山鹿地区</v>
      </c>
      <c r="C3" s="169" t="s">
        <v>8</v>
      </c>
      <c r="D3" s="174" t="s">
        <v>9</v>
      </c>
      <c r="E3" s="176">
        <v>400</v>
      </c>
      <c r="F3" s="169">
        <f t="shared" ref="F3:F68" si="1">SUM(E3+1)</f>
        <v>401</v>
      </c>
      <c r="G3" s="178"/>
      <c r="H3" s="199">
        <f t="shared" ref="H3:H66" si="2">F3-E3</f>
        <v>1</v>
      </c>
    </row>
    <row r="4" spans="1:8">
      <c r="A4" s="171" t="str">
        <f t="shared" ref="A4:A67" si="3">A3</f>
        <v>山鹿地域</v>
      </c>
      <c r="B4" s="174" t="str">
        <f t="shared" si="0"/>
        <v>山鹿地区</v>
      </c>
      <c r="C4" s="170">
        <v>2</v>
      </c>
      <c r="D4" s="179" t="s">
        <v>10</v>
      </c>
      <c r="E4" s="176">
        <v>112</v>
      </c>
      <c r="F4" s="170">
        <f t="shared" si="1"/>
        <v>113</v>
      </c>
      <c r="G4" s="178"/>
      <c r="H4" s="199">
        <f t="shared" si="2"/>
        <v>1</v>
      </c>
    </row>
    <row r="5" spans="1:8">
      <c r="A5" s="171" t="str">
        <f t="shared" si="3"/>
        <v>山鹿地域</v>
      </c>
      <c r="B5" s="174" t="str">
        <f t="shared" si="0"/>
        <v>山鹿地区</v>
      </c>
      <c r="C5" s="170">
        <v>3</v>
      </c>
      <c r="D5" s="179" t="s">
        <v>11</v>
      </c>
      <c r="E5" s="176">
        <v>152</v>
      </c>
      <c r="F5" s="170">
        <f t="shared" si="1"/>
        <v>153</v>
      </c>
      <c r="G5" s="178"/>
      <c r="H5" s="199">
        <f t="shared" si="2"/>
        <v>1</v>
      </c>
    </row>
    <row r="6" spans="1:8">
      <c r="A6" s="171" t="str">
        <f t="shared" si="3"/>
        <v>山鹿地域</v>
      </c>
      <c r="B6" s="174" t="str">
        <f t="shared" si="0"/>
        <v>山鹿地区</v>
      </c>
      <c r="C6" s="169">
        <v>4</v>
      </c>
      <c r="D6" s="174" t="s">
        <v>12</v>
      </c>
      <c r="E6" s="176">
        <v>40</v>
      </c>
      <c r="F6" s="169">
        <f t="shared" si="1"/>
        <v>41</v>
      </c>
      <c r="G6" s="180"/>
      <c r="H6" s="199">
        <f t="shared" si="2"/>
        <v>1</v>
      </c>
    </row>
    <row r="7" spans="1:8">
      <c r="A7" s="171" t="str">
        <f t="shared" si="3"/>
        <v>山鹿地域</v>
      </c>
      <c r="B7" s="174" t="str">
        <f t="shared" si="0"/>
        <v>山鹿地区</v>
      </c>
      <c r="C7" s="170">
        <v>5</v>
      </c>
      <c r="D7" s="174" t="s">
        <v>13</v>
      </c>
      <c r="E7" s="176">
        <v>165</v>
      </c>
      <c r="F7" s="169">
        <f t="shared" si="1"/>
        <v>166</v>
      </c>
      <c r="G7" s="178"/>
      <c r="H7" s="199">
        <f t="shared" si="2"/>
        <v>1</v>
      </c>
    </row>
    <row r="8" spans="1:8">
      <c r="A8" s="171" t="str">
        <f t="shared" si="3"/>
        <v>山鹿地域</v>
      </c>
      <c r="B8" s="174" t="str">
        <f t="shared" si="0"/>
        <v>山鹿地区</v>
      </c>
      <c r="C8" s="170">
        <v>6</v>
      </c>
      <c r="D8" s="179" t="s">
        <v>14</v>
      </c>
      <c r="E8" s="176">
        <v>163</v>
      </c>
      <c r="F8" s="170">
        <f t="shared" si="1"/>
        <v>164</v>
      </c>
      <c r="G8" s="178"/>
      <c r="H8" s="199">
        <f t="shared" si="2"/>
        <v>1</v>
      </c>
    </row>
    <row r="9" spans="1:8">
      <c r="A9" s="171" t="str">
        <f t="shared" si="3"/>
        <v>山鹿地域</v>
      </c>
      <c r="B9" s="174" t="str">
        <f t="shared" si="0"/>
        <v>山鹿地区</v>
      </c>
      <c r="C9" s="170">
        <v>7</v>
      </c>
      <c r="D9" s="179" t="s">
        <v>15</v>
      </c>
      <c r="E9" s="176">
        <v>32</v>
      </c>
      <c r="F9" s="170">
        <f t="shared" si="1"/>
        <v>33</v>
      </c>
      <c r="G9" s="178"/>
      <c r="H9" s="199">
        <f t="shared" si="2"/>
        <v>1</v>
      </c>
    </row>
    <row r="10" spans="1:8">
      <c r="A10" s="171" t="str">
        <f t="shared" si="3"/>
        <v>山鹿地域</v>
      </c>
      <c r="B10" s="174" t="str">
        <f t="shared" si="0"/>
        <v>山鹿地区</v>
      </c>
      <c r="C10" s="170">
        <v>8</v>
      </c>
      <c r="D10" s="179" t="s">
        <v>16</v>
      </c>
      <c r="E10" s="176">
        <v>65</v>
      </c>
      <c r="F10" s="170">
        <f t="shared" si="1"/>
        <v>66</v>
      </c>
      <c r="G10" s="178"/>
      <c r="H10" s="199">
        <f t="shared" si="2"/>
        <v>1</v>
      </c>
    </row>
    <row r="11" spans="1:8">
      <c r="A11" s="171" t="str">
        <f t="shared" si="3"/>
        <v>山鹿地域</v>
      </c>
      <c r="B11" s="174" t="str">
        <f t="shared" si="0"/>
        <v>山鹿地区</v>
      </c>
      <c r="C11" s="170">
        <v>9</v>
      </c>
      <c r="D11" s="179" t="s">
        <v>17</v>
      </c>
      <c r="E11" s="176">
        <v>101</v>
      </c>
      <c r="F11" s="170">
        <f t="shared" si="1"/>
        <v>102</v>
      </c>
      <c r="G11" s="178"/>
      <c r="H11" s="199">
        <f t="shared" si="2"/>
        <v>1</v>
      </c>
    </row>
    <row r="12" spans="1:8">
      <c r="A12" s="171" t="str">
        <f t="shared" si="3"/>
        <v>山鹿地域</v>
      </c>
      <c r="B12" s="174" t="str">
        <f t="shared" si="0"/>
        <v>山鹿地区</v>
      </c>
      <c r="C12" s="170">
        <v>10</v>
      </c>
      <c r="D12" s="179" t="s">
        <v>18</v>
      </c>
      <c r="E12" s="176">
        <v>43</v>
      </c>
      <c r="F12" s="170">
        <f t="shared" si="1"/>
        <v>44</v>
      </c>
      <c r="G12" s="178"/>
      <c r="H12" s="199">
        <f t="shared" si="2"/>
        <v>1</v>
      </c>
    </row>
    <row r="13" spans="1:8">
      <c r="A13" s="171" t="str">
        <f t="shared" si="3"/>
        <v>山鹿地域</v>
      </c>
      <c r="B13" s="174" t="str">
        <f t="shared" si="0"/>
        <v>山鹿地区</v>
      </c>
      <c r="C13" s="170">
        <v>12</v>
      </c>
      <c r="D13" s="174" t="s">
        <v>19</v>
      </c>
      <c r="E13" s="176">
        <v>125</v>
      </c>
      <c r="F13" s="169">
        <f t="shared" si="1"/>
        <v>126</v>
      </c>
      <c r="G13" s="178"/>
      <c r="H13" s="199">
        <f t="shared" si="2"/>
        <v>1</v>
      </c>
    </row>
    <row r="14" spans="1:8">
      <c r="A14" s="171" t="str">
        <f t="shared" si="3"/>
        <v>山鹿地域</v>
      </c>
      <c r="B14" s="174" t="str">
        <f t="shared" si="0"/>
        <v>山鹿地区</v>
      </c>
      <c r="C14" s="170">
        <v>13</v>
      </c>
      <c r="D14" s="174" t="s">
        <v>20</v>
      </c>
      <c r="E14" s="176">
        <v>40</v>
      </c>
      <c r="F14" s="169">
        <f t="shared" si="1"/>
        <v>41</v>
      </c>
      <c r="G14" s="178"/>
      <c r="H14" s="199">
        <f t="shared" si="2"/>
        <v>1</v>
      </c>
    </row>
    <row r="15" spans="1:8">
      <c r="A15" s="171" t="str">
        <f t="shared" si="3"/>
        <v>山鹿地域</v>
      </c>
      <c r="B15" s="174" t="str">
        <f t="shared" si="0"/>
        <v>山鹿地区</v>
      </c>
      <c r="C15" s="170">
        <v>14</v>
      </c>
      <c r="D15" s="174" t="s">
        <v>21</v>
      </c>
      <c r="E15" s="176">
        <v>56</v>
      </c>
      <c r="F15" s="169">
        <f t="shared" si="1"/>
        <v>57</v>
      </c>
      <c r="G15" s="178"/>
      <c r="H15" s="199">
        <f t="shared" si="2"/>
        <v>1</v>
      </c>
    </row>
    <row r="16" spans="1:8">
      <c r="A16" s="171" t="str">
        <f t="shared" si="3"/>
        <v>山鹿地域</v>
      </c>
      <c r="B16" s="174" t="str">
        <f t="shared" si="0"/>
        <v>山鹿地区</v>
      </c>
      <c r="C16" s="170">
        <v>15</v>
      </c>
      <c r="D16" s="179" t="s">
        <v>22</v>
      </c>
      <c r="E16" s="176">
        <v>61</v>
      </c>
      <c r="F16" s="170">
        <f t="shared" si="1"/>
        <v>62</v>
      </c>
      <c r="G16" s="178"/>
      <c r="H16" s="199">
        <f t="shared" si="2"/>
        <v>1</v>
      </c>
    </row>
    <row r="17" spans="1:8">
      <c r="A17" s="171" t="str">
        <f t="shared" si="3"/>
        <v>山鹿地域</v>
      </c>
      <c r="B17" s="174" t="str">
        <f t="shared" si="0"/>
        <v>山鹿地区</v>
      </c>
      <c r="C17" s="170">
        <v>16</v>
      </c>
      <c r="D17" s="179" t="s">
        <v>23</v>
      </c>
      <c r="E17" s="176">
        <v>64</v>
      </c>
      <c r="F17" s="170">
        <f t="shared" si="1"/>
        <v>65</v>
      </c>
      <c r="G17" s="178"/>
      <c r="H17" s="199">
        <f t="shared" si="2"/>
        <v>1</v>
      </c>
    </row>
    <row r="18" spans="1:8">
      <c r="A18" s="171" t="str">
        <f t="shared" si="3"/>
        <v>山鹿地域</v>
      </c>
      <c r="B18" s="174" t="str">
        <f t="shared" si="0"/>
        <v>山鹿地区</v>
      </c>
      <c r="C18" s="170">
        <v>17</v>
      </c>
      <c r="D18" s="179" t="s">
        <v>24</v>
      </c>
      <c r="E18" s="176">
        <v>80</v>
      </c>
      <c r="F18" s="170">
        <f t="shared" si="1"/>
        <v>81</v>
      </c>
      <c r="G18" s="178"/>
      <c r="H18" s="199">
        <f t="shared" si="2"/>
        <v>1</v>
      </c>
    </row>
    <row r="19" spans="1:8">
      <c r="A19" s="171" t="str">
        <f t="shared" si="3"/>
        <v>山鹿地域</v>
      </c>
      <c r="B19" s="174" t="str">
        <f t="shared" si="0"/>
        <v>山鹿地区</v>
      </c>
      <c r="C19" s="170">
        <v>18</v>
      </c>
      <c r="D19" s="179" t="s">
        <v>25</v>
      </c>
      <c r="E19" s="176">
        <v>96</v>
      </c>
      <c r="F19" s="170">
        <f t="shared" si="1"/>
        <v>97</v>
      </c>
      <c r="G19" s="178"/>
      <c r="H19" s="199">
        <f t="shared" si="2"/>
        <v>1</v>
      </c>
    </row>
    <row r="20" spans="1:8">
      <c r="A20" s="171" t="str">
        <f t="shared" si="3"/>
        <v>山鹿地域</v>
      </c>
      <c r="B20" s="174" t="str">
        <f t="shared" si="0"/>
        <v>山鹿地区</v>
      </c>
      <c r="C20" s="170">
        <v>19</v>
      </c>
      <c r="D20" s="179" t="s">
        <v>26</v>
      </c>
      <c r="E20" s="176">
        <v>70</v>
      </c>
      <c r="F20" s="170">
        <f t="shared" si="1"/>
        <v>71</v>
      </c>
      <c r="G20" s="178"/>
      <c r="H20" s="199">
        <f t="shared" si="2"/>
        <v>1</v>
      </c>
    </row>
    <row r="21" spans="1:8">
      <c r="A21" s="171" t="str">
        <f t="shared" si="3"/>
        <v>山鹿地域</v>
      </c>
      <c r="B21" s="174" t="str">
        <f t="shared" si="0"/>
        <v>山鹿地区</v>
      </c>
      <c r="C21" s="170">
        <v>20</v>
      </c>
      <c r="D21" s="179" t="s">
        <v>27</v>
      </c>
      <c r="E21" s="176">
        <v>11</v>
      </c>
      <c r="F21" s="170">
        <f t="shared" si="1"/>
        <v>12</v>
      </c>
      <c r="G21" s="178"/>
      <c r="H21" s="199">
        <f t="shared" si="2"/>
        <v>1</v>
      </c>
    </row>
    <row r="22" spans="1:8">
      <c r="A22" s="171" t="str">
        <f t="shared" si="3"/>
        <v>山鹿地域</v>
      </c>
      <c r="B22" s="174" t="str">
        <f t="shared" si="0"/>
        <v>山鹿地区</v>
      </c>
      <c r="C22" s="170">
        <v>21</v>
      </c>
      <c r="D22" s="179" t="s">
        <v>28</v>
      </c>
      <c r="E22" s="176">
        <v>28</v>
      </c>
      <c r="F22" s="170">
        <f t="shared" si="1"/>
        <v>29</v>
      </c>
      <c r="G22" s="178"/>
      <c r="H22" s="199">
        <f t="shared" si="2"/>
        <v>1</v>
      </c>
    </row>
    <row r="23" spans="1:8">
      <c r="A23" s="171" t="str">
        <f t="shared" si="3"/>
        <v>山鹿地域</v>
      </c>
      <c r="B23" s="174" t="str">
        <f t="shared" si="0"/>
        <v>山鹿地区</v>
      </c>
      <c r="C23" s="170">
        <v>22</v>
      </c>
      <c r="D23" s="170" t="s">
        <v>29</v>
      </c>
      <c r="E23" s="176">
        <v>385</v>
      </c>
      <c r="F23" s="170">
        <f t="shared" si="1"/>
        <v>386</v>
      </c>
      <c r="G23" s="178"/>
      <c r="H23" s="199">
        <f t="shared" si="2"/>
        <v>1</v>
      </c>
    </row>
    <row r="24" spans="1:8">
      <c r="A24" s="171" t="str">
        <f t="shared" si="3"/>
        <v>山鹿地域</v>
      </c>
      <c r="B24" s="174" t="str">
        <f t="shared" si="0"/>
        <v>山鹿地区</v>
      </c>
      <c r="C24" s="170">
        <v>23</v>
      </c>
      <c r="D24" s="179" t="s">
        <v>30</v>
      </c>
      <c r="E24" s="176">
        <v>180</v>
      </c>
      <c r="F24" s="170">
        <f t="shared" si="1"/>
        <v>181</v>
      </c>
      <c r="G24" s="178"/>
      <c r="H24" s="199">
        <f t="shared" si="2"/>
        <v>1</v>
      </c>
    </row>
    <row r="25" spans="1:8">
      <c r="A25" s="171" t="str">
        <f t="shared" si="3"/>
        <v>山鹿地域</v>
      </c>
      <c r="B25" s="174" t="str">
        <f t="shared" si="0"/>
        <v>山鹿地区</v>
      </c>
      <c r="C25" s="170">
        <v>24</v>
      </c>
      <c r="D25" s="179" t="s">
        <v>31</v>
      </c>
      <c r="E25" s="176">
        <v>136</v>
      </c>
      <c r="F25" s="170">
        <f t="shared" si="1"/>
        <v>137</v>
      </c>
      <c r="G25" s="178"/>
      <c r="H25" s="199">
        <f t="shared" si="2"/>
        <v>1</v>
      </c>
    </row>
    <row r="26" spans="1:8">
      <c r="A26" s="171" t="str">
        <f t="shared" si="3"/>
        <v>山鹿地域</v>
      </c>
      <c r="B26" s="174" t="str">
        <f t="shared" si="0"/>
        <v>山鹿地区</v>
      </c>
      <c r="C26" s="170">
        <v>25</v>
      </c>
      <c r="D26" s="179" t="s">
        <v>32</v>
      </c>
      <c r="E26" s="176">
        <v>267</v>
      </c>
      <c r="F26" s="170">
        <f t="shared" si="1"/>
        <v>268</v>
      </c>
      <c r="G26" s="178"/>
      <c r="H26" s="199">
        <f t="shared" si="2"/>
        <v>1</v>
      </c>
    </row>
    <row r="27" spans="1:8">
      <c r="A27" s="171" t="str">
        <f t="shared" si="3"/>
        <v>山鹿地域</v>
      </c>
      <c r="B27" s="174" t="str">
        <f t="shared" si="0"/>
        <v>山鹿地区</v>
      </c>
      <c r="C27" s="170">
        <v>26</v>
      </c>
      <c r="D27" s="174" t="s">
        <v>33</v>
      </c>
      <c r="E27" s="176">
        <v>140</v>
      </c>
      <c r="F27" s="169">
        <f t="shared" si="1"/>
        <v>141</v>
      </c>
      <c r="G27" s="178"/>
      <c r="H27" s="199">
        <f t="shared" si="2"/>
        <v>1</v>
      </c>
    </row>
    <row r="28" spans="1:8">
      <c r="A28" s="171" t="str">
        <f t="shared" si="3"/>
        <v>山鹿地域</v>
      </c>
      <c r="B28" s="174" t="str">
        <f t="shared" si="0"/>
        <v>山鹿地区</v>
      </c>
      <c r="C28" s="170">
        <v>27</v>
      </c>
      <c r="D28" s="174" t="s">
        <v>34</v>
      </c>
      <c r="E28" s="176">
        <v>171</v>
      </c>
      <c r="F28" s="169">
        <f t="shared" si="1"/>
        <v>172</v>
      </c>
      <c r="G28" s="178"/>
      <c r="H28" s="199">
        <f t="shared" si="2"/>
        <v>1</v>
      </c>
    </row>
    <row r="29" spans="1:8">
      <c r="A29" s="171" t="str">
        <f t="shared" si="3"/>
        <v>山鹿地域</v>
      </c>
      <c r="B29" s="174" t="str">
        <f t="shared" si="0"/>
        <v>山鹿地区</v>
      </c>
      <c r="C29" s="170">
        <v>28</v>
      </c>
      <c r="D29" s="174" t="s">
        <v>35</v>
      </c>
      <c r="E29" s="176">
        <v>61</v>
      </c>
      <c r="F29" s="169">
        <f t="shared" si="1"/>
        <v>62</v>
      </c>
      <c r="G29" s="178"/>
      <c r="H29" s="199">
        <f t="shared" si="2"/>
        <v>1</v>
      </c>
    </row>
    <row r="30" spans="1:8">
      <c r="A30" s="171" t="str">
        <f t="shared" si="3"/>
        <v>山鹿地域</v>
      </c>
      <c r="B30" s="174" t="str">
        <f t="shared" si="0"/>
        <v>山鹿地区</v>
      </c>
      <c r="C30" s="170">
        <v>29</v>
      </c>
      <c r="D30" s="174" t="s">
        <v>36</v>
      </c>
      <c r="E30" s="176">
        <v>335</v>
      </c>
      <c r="F30" s="169">
        <f t="shared" si="1"/>
        <v>336</v>
      </c>
      <c r="G30" s="181">
        <f>SUM(F2:F30)</f>
        <v>3878</v>
      </c>
      <c r="H30" s="199">
        <f t="shared" si="2"/>
        <v>1</v>
      </c>
    </row>
    <row r="31" spans="1:8">
      <c r="A31" s="171" t="str">
        <f t="shared" si="3"/>
        <v>山鹿地域</v>
      </c>
      <c r="B31" s="174" t="s">
        <v>37</v>
      </c>
      <c r="C31" s="170">
        <v>2</v>
      </c>
      <c r="D31" s="174" t="s">
        <v>38</v>
      </c>
      <c r="E31" s="176">
        <v>64</v>
      </c>
      <c r="F31" s="169">
        <f t="shared" si="1"/>
        <v>65</v>
      </c>
      <c r="G31" s="178"/>
      <c r="H31" s="199">
        <f t="shared" si="2"/>
        <v>1</v>
      </c>
    </row>
    <row r="32" spans="1:8">
      <c r="A32" s="171" t="str">
        <f t="shared" si="3"/>
        <v>山鹿地域</v>
      </c>
      <c r="B32" s="174" t="str">
        <f t="shared" ref="B32:B41" si="4">B31</f>
        <v>米田地区</v>
      </c>
      <c r="C32" s="170">
        <v>5</v>
      </c>
      <c r="D32" s="174" t="s">
        <v>39</v>
      </c>
      <c r="E32" s="176">
        <v>91</v>
      </c>
      <c r="F32" s="169">
        <f t="shared" si="1"/>
        <v>92</v>
      </c>
      <c r="G32" s="178"/>
      <c r="H32" s="199">
        <f t="shared" si="2"/>
        <v>1</v>
      </c>
    </row>
    <row r="33" spans="1:8">
      <c r="A33" s="171" t="str">
        <f t="shared" si="3"/>
        <v>山鹿地域</v>
      </c>
      <c r="B33" s="174" t="str">
        <f t="shared" si="4"/>
        <v>米田地区</v>
      </c>
      <c r="C33" s="170">
        <v>6</v>
      </c>
      <c r="D33" s="174" t="s">
        <v>40</v>
      </c>
      <c r="E33" s="176">
        <v>109</v>
      </c>
      <c r="F33" s="169">
        <f t="shared" si="1"/>
        <v>110</v>
      </c>
      <c r="G33" s="178"/>
      <c r="H33" s="199">
        <f t="shared" si="2"/>
        <v>1</v>
      </c>
    </row>
    <row r="34" spans="1:8">
      <c r="A34" s="171" t="str">
        <f t="shared" si="3"/>
        <v>山鹿地域</v>
      </c>
      <c r="B34" s="174" t="str">
        <f t="shared" si="4"/>
        <v>米田地区</v>
      </c>
      <c r="C34" s="170">
        <v>9</v>
      </c>
      <c r="D34" s="169" t="s">
        <v>41</v>
      </c>
      <c r="E34" s="176">
        <v>33</v>
      </c>
      <c r="F34" s="169">
        <f t="shared" si="1"/>
        <v>34</v>
      </c>
      <c r="G34" s="178"/>
      <c r="H34" s="199">
        <f t="shared" si="2"/>
        <v>1</v>
      </c>
    </row>
    <row r="35" spans="1:8">
      <c r="A35" s="171" t="str">
        <f t="shared" si="3"/>
        <v>山鹿地域</v>
      </c>
      <c r="B35" s="174" t="str">
        <f t="shared" si="4"/>
        <v>米田地区</v>
      </c>
      <c r="C35" s="170">
        <v>10</v>
      </c>
      <c r="D35" s="169" t="s">
        <v>42</v>
      </c>
      <c r="E35" s="176">
        <v>107</v>
      </c>
      <c r="F35" s="169">
        <f t="shared" si="1"/>
        <v>108</v>
      </c>
      <c r="G35" s="178"/>
      <c r="H35" s="199">
        <f t="shared" si="2"/>
        <v>1</v>
      </c>
    </row>
    <row r="36" spans="1:8">
      <c r="A36" s="171" t="str">
        <f t="shared" si="3"/>
        <v>山鹿地域</v>
      </c>
      <c r="B36" s="174" t="str">
        <f t="shared" si="4"/>
        <v>米田地区</v>
      </c>
      <c r="C36" s="169">
        <v>11</v>
      </c>
      <c r="D36" s="174" t="s">
        <v>43</v>
      </c>
      <c r="E36" s="176">
        <v>156</v>
      </c>
      <c r="F36" s="169">
        <f t="shared" si="1"/>
        <v>157</v>
      </c>
      <c r="G36" s="178"/>
      <c r="H36" s="199">
        <f t="shared" si="2"/>
        <v>1</v>
      </c>
    </row>
    <row r="37" spans="1:8">
      <c r="A37" s="171" t="str">
        <f t="shared" si="3"/>
        <v>山鹿地域</v>
      </c>
      <c r="B37" s="174" t="str">
        <f t="shared" si="4"/>
        <v>米田地区</v>
      </c>
      <c r="C37" s="170">
        <v>12</v>
      </c>
      <c r="D37" s="170" t="s">
        <v>44</v>
      </c>
      <c r="E37" s="176">
        <v>38</v>
      </c>
      <c r="F37" s="170">
        <f t="shared" si="1"/>
        <v>39</v>
      </c>
      <c r="G37" s="178"/>
      <c r="H37" s="199">
        <f t="shared" si="2"/>
        <v>1</v>
      </c>
    </row>
    <row r="38" spans="1:8">
      <c r="A38" s="171" t="str">
        <f t="shared" si="3"/>
        <v>山鹿地域</v>
      </c>
      <c r="B38" s="174" t="str">
        <f t="shared" si="4"/>
        <v>米田地区</v>
      </c>
      <c r="C38" s="170">
        <v>13</v>
      </c>
      <c r="D38" s="170" t="s">
        <v>45</v>
      </c>
      <c r="E38" s="176">
        <v>44</v>
      </c>
      <c r="F38" s="170">
        <f t="shared" si="1"/>
        <v>45</v>
      </c>
      <c r="G38" s="178"/>
      <c r="H38" s="199">
        <f t="shared" si="2"/>
        <v>1</v>
      </c>
    </row>
    <row r="39" spans="1:8">
      <c r="A39" s="171" t="str">
        <f t="shared" si="3"/>
        <v>山鹿地域</v>
      </c>
      <c r="B39" s="174" t="str">
        <f t="shared" si="4"/>
        <v>米田地区</v>
      </c>
      <c r="C39" s="170">
        <v>14</v>
      </c>
      <c r="D39" s="170" t="s">
        <v>46</v>
      </c>
      <c r="E39" s="176">
        <v>54</v>
      </c>
      <c r="F39" s="170">
        <f t="shared" si="1"/>
        <v>55</v>
      </c>
      <c r="G39" s="178"/>
      <c r="H39" s="199">
        <f t="shared" si="2"/>
        <v>1</v>
      </c>
    </row>
    <row r="40" spans="1:8">
      <c r="A40" s="171" t="str">
        <f t="shared" si="3"/>
        <v>山鹿地域</v>
      </c>
      <c r="B40" s="174" t="str">
        <f t="shared" si="4"/>
        <v>米田地区</v>
      </c>
      <c r="C40" s="170">
        <v>15</v>
      </c>
      <c r="D40" s="170" t="s">
        <v>47</v>
      </c>
      <c r="E40" s="176">
        <v>36</v>
      </c>
      <c r="F40" s="170">
        <f t="shared" si="1"/>
        <v>37</v>
      </c>
      <c r="G40" s="178"/>
      <c r="H40" s="199">
        <f t="shared" si="2"/>
        <v>1</v>
      </c>
    </row>
    <row r="41" spans="1:8">
      <c r="A41" s="171" t="str">
        <f t="shared" si="3"/>
        <v>山鹿地域</v>
      </c>
      <c r="B41" s="174" t="str">
        <f t="shared" si="4"/>
        <v>米田地区</v>
      </c>
      <c r="C41" s="170">
        <v>16</v>
      </c>
      <c r="D41" s="170" t="s">
        <v>332</v>
      </c>
      <c r="E41" s="176">
        <v>60</v>
      </c>
      <c r="F41" s="170">
        <f t="shared" si="1"/>
        <v>61</v>
      </c>
      <c r="G41" s="181">
        <f>SUM(F31:F41)</f>
        <v>803</v>
      </c>
      <c r="H41" s="199">
        <f t="shared" si="2"/>
        <v>1</v>
      </c>
    </row>
    <row r="42" spans="1:8">
      <c r="A42" s="171" t="str">
        <f t="shared" si="3"/>
        <v>山鹿地域</v>
      </c>
      <c r="B42" s="174" t="s">
        <v>49</v>
      </c>
      <c r="C42" s="170">
        <v>1</v>
      </c>
      <c r="D42" s="179" t="s">
        <v>50</v>
      </c>
      <c r="E42" s="176">
        <v>15</v>
      </c>
      <c r="F42" s="170">
        <f t="shared" si="1"/>
        <v>16</v>
      </c>
      <c r="G42" s="178"/>
      <c r="H42" s="199">
        <f t="shared" si="2"/>
        <v>1</v>
      </c>
    </row>
    <row r="43" spans="1:8">
      <c r="A43" s="171" t="str">
        <f t="shared" si="3"/>
        <v>山鹿地域</v>
      </c>
      <c r="B43" s="174" t="str">
        <f t="shared" ref="B43:B53" si="5">B42</f>
        <v>川辺地区</v>
      </c>
      <c r="C43" s="170">
        <v>2</v>
      </c>
      <c r="D43" s="179" t="s">
        <v>51</v>
      </c>
      <c r="E43" s="176">
        <v>65</v>
      </c>
      <c r="F43" s="170">
        <f t="shared" si="1"/>
        <v>66</v>
      </c>
      <c r="G43" s="178"/>
      <c r="H43" s="199">
        <f t="shared" si="2"/>
        <v>1</v>
      </c>
    </row>
    <row r="44" spans="1:8">
      <c r="A44" s="171" t="str">
        <f t="shared" si="3"/>
        <v>山鹿地域</v>
      </c>
      <c r="B44" s="174" t="str">
        <f t="shared" si="5"/>
        <v>川辺地区</v>
      </c>
      <c r="C44" s="170">
        <v>3</v>
      </c>
      <c r="D44" s="179" t="s">
        <v>52</v>
      </c>
      <c r="E44" s="176">
        <v>43</v>
      </c>
      <c r="F44" s="170">
        <f t="shared" si="1"/>
        <v>44</v>
      </c>
      <c r="G44" s="178"/>
      <c r="H44" s="199">
        <f t="shared" si="2"/>
        <v>1</v>
      </c>
    </row>
    <row r="45" spans="1:8">
      <c r="A45" s="171" t="str">
        <f t="shared" si="3"/>
        <v>山鹿地域</v>
      </c>
      <c r="B45" s="174" t="str">
        <f t="shared" si="5"/>
        <v>川辺地区</v>
      </c>
      <c r="C45" s="169">
        <v>4</v>
      </c>
      <c r="D45" s="174" t="s">
        <v>53</v>
      </c>
      <c r="E45" s="176">
        <v>25</v>
      </c>
      <c r="F45" s="169">
        <f t="shared" si="1"/>
        <v>26</v>
      </c>
      <c r="G45" s="178"/>
      <c r="H45" s="199">
        <f t="shared" si="2"/>
        <v>1</v>
      </c>
    </row>
    <row r="46" spans="1:8">
      <c r="A46" s="171" t="str">
        <f t="shared" si="3"/>
        <v>山鹿地域</v>
      </c>
      <c r="B46" s="174" t="str">
        <f t="shared" si="5"/>
        <v>川辺地区</v>
      </c>
      <c r="C46" s="170">
        <v>5</v>
      </c>
      <c r="D46" s="179" t="s">
        <v>54</v>
      </c>
      <c r="E46" s="176">
        <v>13</v>
      </c>
      <c r="F46" s="170">
        <f t="shared" si="1"/>
        <v>14</v>
      </c>
      <c r="G46" s="178"/>
      <c r="H46" s="199">
        <f t="shared" si="2"/>
        <v>1</v>
      </c>
    </row>
    <row r="47" spans="1:8">
      <c r="A47" s="171" t="str">
        <f t="shared" si="3"/>
        <v>山鹿地域</v>
      </c>
      <c r="B47" s="174" t="str">
        <f t="shared" si="5"/>
        <v>川辺地区</v>
      </c>
      <c r="C47" s="170">
        <v>6</v>
      </c>
      <c r="D47" s="179" t="s">
        <v>55</v>
      </c>
      <c r="E47" s="176">
        <v>10</v>
      </c>
      <c r="F47" s="170">
        <f t="shared" si="1"/>
        <v>11</v>
      </c>
      <c r="G47" s="178"/>
      <c r="H47" s="199">
        <f t="shared" si="2"/>
        <v>1</v>
      </c>
    </row>
    <row r="48" spans="1:8">
      <c r="A48" s="171" t="str">
        <f t="shared" si="3"/>
        <v>山鹿地域</v>
      </c>
      <c r="B48" s="174" t="str">
        <f t="shared" si="5"/>
        <v>川辺地区</v>
      </c>
      <c r="C48" s="170">
        <v>7</v>
      </c>
      <c r="D48" s="179" t="s">
        <v>56</v>
      </c>
      <c r="E48" s="176">
        <v>15</v>
      </c>
      <c r="F48" s="170">
        <f t="shared" si="1"/>
        <v>16</v>
      </c>
      <c r="G48" s="178"/>
      <c r="H48" s="199">
        <f t="shared" si="2"/>
        <v>1</v>
      </c>
    </row>
    <row r="49" spans="1:8">
      <c r="A49" s="171" t="str">
        <f t="shared" si="3"/>
        <v>山鹿地域</v>
      </c>
      <c r="B49" s="174" t="str">
        <f t="shared" si="5"/>
        <v>川辺地区</v>
      </c>
      <c r="C49" s="170">
        <v>8</v>
      </c>
      <c r="D49" s="170" t="s">
        <v>57</v>
      </c>
      <c r="E49" s="176">
        <v>15</v>
      </c>
      <c r="F49" s="170">
        <f t="shared" si="1"/>
        <v>16</v>
      </c>
      <c r="G49" s="178"/>
      <c r="H49" s="199">
        <f t="shared" si="2"/>
        <v>1</v>
      </c>
    </row>
    <row r="50" spans="1:8">
      <c r="A50" s="171" t="str">
        <f t="shared" si="3"/>
        <v>山鹿地域</v>
      </c>
      <c r="B50" s="174" t="str">
        <f t="shared" si="5"/>
        <v>川辺地区</v>
      </c>
      <c r="C50" s="170">
        <v>9</v>
      </c>
      <c r="D50" s="170" t="s">
        <v>58</v>
      </c>
      <c r="E50" s="176">
        <v>24</v>
      </c>
      <c r="F50" s="170">
        <f t="shared" si="1"/>
        <v>25</v>
      </c>
      <c r="G50" s="178"/>
      <c r="H50" s="199">
        <f t="shared" si="2"/>
        <v>1</v>
      </c>
    </row>
    <row r="51" spans="1:8">
      <c r="A51" s="171" t="str">
        <f t="shared" si="3"/>
        <v>山鹿地域</v>
      </c>
      <c r="B51" s="174" t="str">
        <f t="shared" si="5"/>
        <v>川辺地区</v>
      </c>
      <c r="C51" s="170">
        <v>10</v>
      </c>
      <c r="D51" s="179" t="s">
        <v>59</v>
      </c>
      <c r="E51" s="176">
        <v>31</v>
      </c>
      <c r="F51" s="170">
        <f t="shared" si="1"/>
        <v>32</v>
      </c>
      <c r="G51" s="178"/>
      <c r="H51" s="199">
        <f t="shared" si="2"/>
        <v>1</v>
      </c>
    </row>
    <row r="52" spans="1:8">
      <c r="A52" s="171" t="str">
        <f t="shared" si="3"/>
        <v>山鹿地域</v>
      </c>
      <c r="B52" s="174" t="str">
        <f t="shared" si="5"/>
        <v>川辺地区</v>
      </c>
      <c r="C52" s="170">
        <v>11</v>
      </c>
      <c r="D52" s="174" t="s">
        <v>60</v>
      </c>
      <c r="E52" s="176">
        <v>35</v>
      </c>
      <c r="F52" s="169">
        <f t="shared" si="1"/>
        <v>36</v>
      </c>
      <c r="G52" s="178"/>
      <c r="H52" s="199">
        <f t="shared" si="2"/>
        <v>1</v>
      </c>
    </row>
    <row r="53" spans="1:8">
      <c r="A53" s="171" t="str">
        <f t="shared" si="3"/>
        <v>山鹿地域</v>
      </c>
      <c r="B53" s="174" t="str">
        <f t="shared" si="5"/>
        <v>川辺地区</v>
      </c>
      <c r="C53" s="169">
        <v>12</v>
      </c>
      <c r="D53" s="169" t="s">
        <v>61</v>
      </c>
      <c r="E53" s="176">
        <v>90</v>
      </c>
      <c r="F53" s="169">
        <f t="shared" si="1"/>
        <v>91</v>
      </c>
      <c r="G53" s="181">
        <f>SUM(F42:F53)</f>
        <v>393</v>
      </c>
      <c r="H53" s="199">
        <f t="shared" si="2"/>
        <v>1</v>
      </c>
    </row>
    <row r="54" spans="1:8">
      <c r="A54" s="171" t="str">
        <f t="shared" si="3"/>
        <v>山鹿地域</v>
      </c>
      <c r="B54" s="174" t="s">
        <v>62</v>
      </c>
      <c r="C54" s="170">
        <v>1</v>
      </c>
      <c r="D54" s="174" t="s">
        <v>63</v>
      </c>
      <c r="E54" s="176">
        <v>85</v>
      </c>
      <c r="F54" s="169">
        <f t="shared" si="1"/>
        <v>86</v>
      </c>
      <c r="G54" s="178"/>
      <c r="H54" s="199">
        <f t="shared" si="2"/>
        <v>1</v>
      </c>
    </row>
    <row r="55" spans="1:8">
      <c r="A55" s="171" t="str">
        <f t="shared" si="3"/>
        <v>山鹿地域</v>
      </c>
      <c r="B55" s="174" t="str">
        <f t="shared" ref="B55:B63" si="6">B54</f>
        <v>八幡地区</v>
      </c>
      <c r="C55" s="170" t="s">
        <v>64</v>
      </c>
      <c r="D55" s="174" t="s">
        <v>65</v>
      </c>
      <c r="E55" s="176">
        <v>217</v>
      </c>
      <c r="F55" s="169">
        <f t="shared" si="1"/>
        <v>218</v>
      </c>
      <c r="G55" s="178"/>
      <c r="H55" s="199">
        <f t="shared" si="2"/>
        <v>1</v>
      </c>
    </row>
    <row r="56" spans="1:8">
      <c r="A56" s="171" t="str">
        <f t="shared" si="3"/>
        <v>山鹿地域</v>
      </c>
      <c r="B56" s="174" t="str">
        <f t="shared" si="6"/>
        <v>八幡地区</v>
      </c>
      <c r="C56" s="170" t="s">
        <v>66</v>
      </c>
      <c r="D56" s="174" t="s">
        <v>67</v>
      </c>
      <c r="E56" s="176">
        <v>112</v>
      </c>
      <c r="F56" s="169">
        <f t="shared" si="1"/>
        <v>113</v>
      </c>
      <c r="G56" s="178"/>
      <c r="H56" s="199">
        <f t="shared" si="2"/>
        <v>1</v>
      </c>
    </row>
    <row r="57" spans="1:8">
      <c r="A57" s="171" t="str">
        <f t="shared" si="3"/>
        <v>山鹿地域</v>
      </c>
      <c r="B57" s="174" t="str">
        <f t="shared" si="6"/>
        <v>八幡地区</v>
      </c>
      <c r="C57" s="170">
        <v>3</v>
      </c>
      <c r="D57" s="174" t="s">
        <v>68</v>
      </c>
      <c r="E57" s="176">
        <v>88</v>
      </c>
      <c r="F57" s="169">
        <f t="shared" si="1"/>
        <v>89</v>
      </c>
      <c r="G57" s="178"/>
      <c r="H57" s="199">
        <f t="shared" si="2"/>
        <v>1</v>
      </c>
    </row>
    <row r="58" spans="1:8">
      <c r="A58" s="171" t="str">
        <f t="shared" si="3"/>
        <v>山鹿地域</v>
      </c>
      <c r="B58" s="174" t="str">
        <f t="shared" si="6"/>
        <v>八幡地区</v>
      </c>
      <c r="C58" s="170" t="s">
        <v>69</v>
      </c>
      <c r="D58" s="179" t="s">
        <v>70</v>
      </c>
      <c r="E58" s="176">
        <v>175</v>
      </c>
      <c r="F58" s="170">
        <f t="shared" si="1"/>
        <v>176</v>
      </c>
      <c r="G58" s="178"/>
      <c r="H58" s="199">
        <f t="shared" si="2"/>
        <v>1</v>
      </c>
    </row>
    <row r="59" spans="1:8">
      <c r="A59" s="171" t="str">
        <f t="shared" si="3"/>
        <v>山鹿地域</v>
      </c>
      <c r="B59" s="174" t="str">
        <f t="shared" si="6"/>
        <v>八幡地区</v>
      </c>
      <c r="C59" s="170" t="s">
        <v>71</v>
      </c>
      <c r="D59" s="179" t="s">
        <v>72</v>
      </c>
      <c r="E59" s="176">
        <v>208</v>
      </c>
      <c r="F59" s="170">
        <f t="shared" si="1"/>
        <v>209</v>
      </c>
      <c r="G59" s="178"/>
      <c r="H59" s="199">
        <f t="shared" si="2"/>
        <v>1</v>
      </c>
    </row>
    <row r="60" spans="1:8">
      <c r="A60" s="171" t="str">
        <f t="shared" si="3"/>
        <v>山鹿地域</v>
      </c>
      <c r="B60" s="174" t="str">
        <f t="shared" si="6"/>
        <v>八幡地区</v>
      </c>
      <c r="C60" s="170">
        <v>5</v>
      </c>
      <c r="D60" s="179" t="s">
        <v>73</v>
      </c>
      <c r="E60" s="176">
        <v>120</v>
      </c>
      <c r="F60" s="170">
        <f t="shared" si="1"/>
        <v>121</v>
      </c>
      <c r="G60" s="178"/>
      <c r="H60" s="199">
        <f t="shared" si="2"/>
        <v>1</v>
      </c>
    </row>
    <row r="61" spans="1:8">
      <c r="A61" s="171" t="str">
        <f t="shared" si="3"/>
        <v>山鹿地域</v>
      </c>
      <c r="B61" s="174" t="str">
        <f t="shared" si="6"/>
        <v>八幡地区</v>
      </c>
      <c r="C61" s="169">
        <v>6</v>
      </c>
      <c r="D61" s="174" t="s">
        <v>74</v>
      </c>
      <c r="E61" s="176">
        <v>145</v>
      </c>
      <c r="F61" s="169">
        <f t="shared" si="1"/>
        <v>146</v>
      </c>
      <c r="G61" s="178"/>
      <c r="H61" s="199">
        <f t="shared" si="2"/>
        <v>1</v>
      </c>
    </row>
    <row r="62" spans="1:8">
      <c r="A62" s="171" t="str">
        <f t="shared" si="3"/>
        <v>山鹿地域</v>
      </c>
      <c r="B62" s="174" t="str">
        <f t="shared" si="6"/>
        <v>八幡地区</v>
      </c>
      <c r="C62" s="170">
        <v>7</v>
      </c>
      <c r="D62" s="169" t="s">
        <v>75</v>
      </c>
      <c r="E62" s="176">
        <v>236</v>
      </c>
      <c r="F62" s="169">
        <f t="shared" si="1"/>
        <v>237</v>
      </c>
      <c r="G62" s="178"/>
      <c r="H62" s="199">
        <f t="shared" si="2"/>
        <v>1</v>
      </c>
    </row>
    <row r="63" spans="1:8">
      <c r="A63" s="171" t="str">
        <f t="shared" si="3"/>
        <v>山鹿地域</v>
      </c>
      <c r="B63" s="174" t="str">
        <f t="shared" si="6"/>
        <v>八幡地区</v>
      </c>
      <c r="C63" s="170">
        <v>8</v>
      </c>
      <c r="D63" s="170" t="s">
        <v>76</v>
      </c>
      <c r="E63" s="176">
        <v>42</v>
      </c>
      <c r="F63" s="170">
        <f t="shared" si="1"/>
        <v>43</v>
      </c>
      <c r="G63" s="181">
        <f>SUM(F54:F63)</f>
        <v>1438</v>
      </c>
      <c r="H63" s="199">
        <f t="shared" si="2"/>
        <v>1</v>
      </c>
    </row>
    <row r="64" spans="1:8">
      <c r="A64" s="171" t="str">
        <f t="shared" si="3"/>
        <v>山鹿地域</v>
      </c>
      <c r="B64" s="174" t="s">
        <v>77</v>
      </c>
      <c r="C64" s="170">
        <v>1</v>
      </c>
      <c r="D64" s="170" t="s">
        <v>78</v>
      </c>
      <c r="E64" s="176">
        <v>16</v>
      </c>
      <c r="F64" s="170">
        <f t="shared" si="1"/>
        <v>17</v>
      </c>
      <c r="G64" s="178"/>
      <c r="H64" s="199">
        <f t="shared" si="2"/>
        <v>1</v>
      </c>
    </row>
    <row r="65" spans="1:8">
      <c r="A65" s="171" t="str">
        <f t="shared" si="3"/>
        <v>山鹿地域</v>
      </c>
      <c r="B65" s="174" t="str">
        <f t="shared" ref="B65:B77" si="7">B64</f>
        <v>平小城地区</v>
      </c>
      <c r="C65" s="170">
        <v>2</v>
      </c>
      <c r="D65" s="170" t="s">
        <v>79</v>
      </c>
      <c r="E65" s="176">
        <v>34</v>
      </c>
      <c r="F65" s="170">
        <f t="shared" si="1"/>
        <v>35</v>
      </c>
      <c r="G65" s="178"/>
      <c r="H65" s="199">
        <f t="shared" si="2"/>
        <v>1</v>
      </c>
    </row>
    <row r="66" spans="1:8">
      <c r="A66" s="171" t="str">
        <f t="shared" si="3"/>
        <v>山鹿地域</v>
      </c>
      <c r="B66" s="174" t="str">
        <f t="shared" si="7"/>
        <v>平小城地区</v>
      </c>
      <c r="C66" s="170">
        <v>3</v>
      </c>
      <c r="D66" s="179" t="s">
        <v>80</v>
      </c>
      <c r="E66" s="176">
        <v>28</v>
      </c>
      <c r="F66" s="170">
        <f t="shared" si="1"/>
        <v>29</v>
      </c>
      <c r="G66" s="178"/>
      <c r="H66" s="199">
        <f t="shared" si="2"/>
        <v>1</v>
      </c>
    </row>
    <row r="67" spans="1:8">
      <c r="A67" s="171" t="str">
        <f t="shared" si="3"/>
        <v>山鹿地域</v>
      </c>
      <c r="B67" s="174" t="str">
        <f t="shared" si="7"/>
        <v>平小城地区</v>
      </c>
      <c r="C67" s="170">
        <v>4</v>
      </c>
      <c r="D67" s="179" t="s">
        <v>81</v>
      </c>
      <c r="E67" s="176">
        <v>44</v>
      </c>
      <c r="F67" s="170">
        <f>SUM(E67+1)</f>
        <v>45</v>
      </c>
      <c r="G67" s="178"/>
      <c r="H67" s="199">
        <f t="shared" ref="H67:H130" si="8">F67-E67</f>
        <v>1</v>
      </c>
    </row>
    <row r="68" spans="1:8">
      <c r="A68" s="171" t="str">
        <f t="shared" ref="A68:A117" si="9">A67</f>
        <v>山鹿地域</v>
      </c>
      <c r="B68" s="174" t="str">
        <f t="shared" si="7"/>
        <v>平小城地区</v>
      </c>
      <c r="C68" s="170">
        <v>5</v>
      </c>
      <c r="D68" s="169" t="s">
        <v>82</v>
      </c>
      <c r="E68" s="176">
        <v>33</v>
      </c>
      <c r="F68" s="169">
        <f t="shared" si="1"/>
        <v>34</v>
      </c>
      <c r="G68" s="178"/>
      <c r="H68" s="199">
        <f t="shared" si="8"/>
        <v>1</v>
      </c>
    </row>
    <row r="69" spans="1:8">
      <c r="A69" s="171" t="str">
        <f t="shared" si="9"/>
        <v>山鹿地域</v>
      </c>
      <c r="B69" s="174" t="str">
        <f t="shared" si="7"/>
        <v>平小城地区</v>
      </c>
      <c r="C69" s="170">
        <v>6</v>
      </c>
      <c r="D69" s="170" t="s">
        <v>83</v>
      </c>
      <c r="E69" s="176">
        <v>21</v>
      </c>
      <c r="F69" s="170">
        <f t="shared" ref="F69:F117" si="10">SUM(E69+1)</f>
        <v>22</v>
      </c>
      <c r="G69" s="178"/>
      <c r="H69" s="199">
        <f t="shared" si="8"/>
        <v>1</v>
      </c>
    </row>
    <row r="70" spans="1:8">
      <c r="A70" s="171" t="str">
        <f t="shared" si="9"/>
        <v>山鹿地域</v>
      </c>
      <c r="B70" s="174" t="str">
        <f t="shared" si="7"/>
        <v>平小城地区</v>
      </c>
      <c r="C70" s="169">
        <v>7</v>
      </c>
      <c r="D70" s="174" t="s">
        <v>84</v>
      </c>
      <c r="E70" s="176">
        <v>27</v>
      </c>
      <c r="F70" s="169">
        <f t="shared" si="10"/>
        <v>28</v>
      </c>
      <c r="G70" s="178"/>
      <c r="H70" s="199">
        <f t="shared" si="8"/>
        <v>1</v>
      </c>
    </row>
    <row r="71" spans="1:8">
      <c r="A71" s="171" t="str">
        <f t="shared" si="9"/>
        <v>山鹿地域</v>
      </c>
      <c r="B71" s="174" t="str">
        <f t="shared" si="7"/>
        <v>平小城地区</v>
      </c>
      <c r="C71" s="170">
        <v>8</v>
      </c>
      <c r="D71" s="179" t="s">
        <v>85</v>
      </c>
      <c r="E71" s="176">
        <v>34</v>
      </c>
      <c r="F71" s="170">
        <f t="shared" si="10"/>
        <v>35</v>
      </c>
      <c r="G71" s="178"/>
      <c r="H71" s="199">
        <f t="shared" si="8"/>
        <v>1</v>
      </c>
    </row>
    <row r="72" spans="1:8">
      <c r="A72" s="171" t="str">
        <f t="shared" si="9"/>
        <v>山鹿地域</v>
      </c>
      <c r="B72" s="174" t="str">
        <f t="shared" si="7"/>
        <v>平小城地区</v>
      </c>
      <c r="C72" s="170">
        <v>9</v>
      </c>
      <c r="D72" s="179" t="s">
        <v>86</v>
      </c>
      <c r="E72" s="176">
        <v>26</v>
      </c>
      <c r="F72" s="170">
        <f t="shared" si="10"/>
        <v>27</v>
      </c>
      <c r="G72" s="178"/>
      <c r="H72" s="199">
        <f t="shared" si="8"/>
        <v>1</v>
      </c>
    </row>
    <row r="73" spans="1:8">
      <c r="A73" s="171" t="str">
        <f t="shared" si="9"/>
        <v>山鹿地域</v>
      </c>
      <c r="B73" s="174" t="str">
        <f t="shared" si="7"/>
        <v>平小城地区</v>
      </c>
      <c r="C73" s="170">
        <v>11</v>
      </c>
      <c r="D73" s="179" t="s">
        <v>87</v>
      </c>
      <c r="E73" s="176">
        <v>38</v>
      </c>
      <c r="F73" s="169">
        <f t="shared" si="10"/>
        <v>39</v>
      </c>
      <c r="G73" s="178"/>
      <c r="H73" s="199">
        <f t="shared" si="8"/>
        <v>1</v>
      </c>
    </row>
    <row r="74" spans="1:8">
      <c r="A74" s="171" t="str">
        <f t="shared" si="9"/>
        <v>山鹿地域</v>
      </c>
      <c r="B74" s="174" t="str">
        <f t="shared" si="7"/>
        <v>平小城地区</v>
      </c>
      <c r="C74" s="170">
        <v>12</v>
      </c>
      <c r="D74" s="170" t="s">
        <v>88</v>
      </c>
      <c r="E74" s="176">
        <v>24</v>
      </c>
      <c r="F74" s="170">
        <f t="shared" si="10"/>
        <v>25</v>
      </c>
      <c r="G74" s="178"/>
      <c r="H74" s="199">
        <f t="shared" si="8"/>
        <v>1</v>
      </c>
    </row>
    <row r="75" spans="1:8">
      <c r="A75" s="171" t="str">
        <f t="shared" si="9"/>
        <v>山鹿地域</v>
      </c>
      <c r="B75" s="174" t="str">
        <f t="shared" si="7"/>
        <v>平小城地区</v>
      </c>
      <c r="C75" s="170">
        <v>13</v>
      </c>
      <c r="D75" s="179" t="s">
        <v>89</v>
      </c>
      <c r="E75" s="176">
        <v>100</v>
      </c>
      <c r="F75" s="170">
        <f t="shared" si="10"/>
        <v>101</v>
      </c>
      <c r="G75" s="178"/>
      <c r="H75" s="199">
        <f t="shared" si="8"/>
        <v>1</v>
      </c>
    </row>
    <row r="76" spans="1:8">
      <c r="A76" s="171" t="str">
        <f t="shared" si="9"/>
        <v>山鹿地域</v>
      </c>
      <c r="B76" s="174" t="str">
        <f t="shared" si="7"/>
        <v>平小城地区</v>
      </c>
      <c r="C76" s="169">
        <v>14</v>
      </c>
      <c r="D76" s="169" t="s">
        <v>90</v>
      </c>
      <c r="E76" s="176">
        <v>20</v>
      </c>
      <c r="F76" s="169">
        <f t="shared" si="10"/>
        <v>21</v>
      </c>
      <c r="G76" s="180"/>
      <c r="H76" s="199">
        <f t="shared" si="8"/>
        <v>1</v>
      </c>
    </row>
    <row r="77" spans="1:8">
      <c r="A77" s="171" t="str">
        <f t="shared" si="9"/>
        <v>山鹿地域</v>
      </c>
      <c r="B77" s="174" t="str">
        <f t="shared" si="7"/>
        <v>平小城地区</v>
      </c>
      <c r="C77" s="170">
        <v>15</v>
      </c>
      <c r="D77" s="169" t="s">
        <v>91</v>
      </c>
      <c r="E77" s="176">
        <v>29</v>
      </c>
      <c r="F77" s="169">
        <f t="shared" si="10"/>
        <v>30</v>
      </c>
      <c r="G77" s="181">
        <f>SUM(F64:F77)</f>
        <v>488</v>
      </c>
      <c r="H77" s="199">
        <f t="shared" si="8"/>
        <v>1</v>
      </c>
    </row>
    <row r="78" spans="1:8">
      <c r="A78" s="171" t="str">
        <f t="shared" si="9"/>
        <v>山鹿地域</v>
      </c>
      <c r="B78" s="174" t="s">
        <v>92</v>
      </c>
      <c r="C78" s="169">
        <v>1</v>
      </c>
      <c r="D78" s="169" t="s">
        <v>93</v>
      </c>
      <c r="E78" s="176">
        <v>44</v>
      </c>
      <c r="F78" s="169">
        <f t="shared" si="10"/>
        <v>45</v>
      </c>
      <c r="G78" s="178"/>
      <c r="H78" s="199">
        <f t="shared" si="8"/>
        <v>1</v>
      </c>
    </row>
    <row r="79" spans="1:8">
      <c r="A79" s="171" t="str">
        <f t="shared" si="9"/>
        <v>山鹿地域</v>
      </c>
      <c r="B79" s="174" t="str">
        <f t="shared" ref="B79:B88" si="11">B78</f>
        <v>三岳地区</v>
      </c>
      <c r="C79" s="170">
        <v>2</v>
      </c>
      <c r="D79" s="174" t="s">
        <v>94</v>
      </c>
      <c r="E79" s="176">
        <v>46</v>
      </c>
      <c r="F79" s="169">
        <f t="shared" si="10"/>
        <v>47</v>
      </c>
      <c r="G79" s="178"/>
      <c r="H79" s="199">
        <f t="shared" si="8"/>
        <v>1</v>
      </c>
    </row>
    <row r="80" spans="1:8">
      <c r="A80" s="171" t="str">
        <f t="shared" si="9"/>
        <v>山鹿地域</v>
      </c>
      <c r="B80" s="174" t="str">
        <f t="shared" si="11"/>
        <v>三岳地区</v>
      </c>
      <c r="C80" s="170">
        <v>3</v>
      </c>
      <c r="D80" s="174" t="s">
        <v>95</v>
      </c>
      <c r="E80" s="176">
        <v>34</v>
      </c>
      <c r="F80" s="169">
        <f t="shared" si="10"/>
        <v>35</v>
      </c>
      <c r="G80" s="178"/>
      <c r="H80" s="199">
        <f t="shared" si="8"/>
        <v>1</v>
      </c>
    </row>
    <row r="81" spans="1:8">
      <c r="A81" s="171" t="str">
        <f t="shared" si="9"/>
        <v>山鹿地域</v>
      </c>
      <c r="B81" s="174" t="str">
        <f t="shared" si="11"/>
        <v>三岳地区</v>
      </c>
      <c r="C81" s="170">
        <v>4</v>
      </c>
      <c r="D81" s="174" t="s">
        <v>96</v>
      </c>
      <c r="E81" s="176">
        <v>40</v>
      </c>
      <c r="F81" s="169">
        <f t="shared" si="10"/>
        <v>41</v>
      </c>
      <c r="G81" s="178"/>
      <c r="H81" s="199">
        <f t="shared" si="8"/>
        <v>1</v>
      </c>
    </row>
    <row r="82" spans="1:8">
      <c r="A82" s="171" t="str">
        <f t="shared" si="9"/>
        <v>山鹿地域</v>
      </c>
      <c r="B82" s="174" t="str">
        <f t="shared" si="11"/>
        <v>三岳地区</v>
      </c>
      <c r="C82" s="170">
        <v>5</v>
      </c>
      <c r="D82" s="169" t="s">
        <v>97</v>
      </c>
      <c r="E82" s="176">
        <v>83</v>
      </c>
      <c r="F82" s="169">
        <f t="shared" si="10"/>
        <v>84</v>
      </c>
      <c r="G82" s="178"/>
      <c r="H82" s="199">
        <f t="shared" si="8"/>
        <v>1</v>
      </c>
    </row>
    <row r="83" spans="1:8">
      <c r="A83" s="171" t="str">
        <f t="shared" si="9"/>
        <v>山鹿地域</v>
      </c>
      <c r="B83" s="174" t="str">
        <f t="shared" si="11"/>
        <v>三岳地区</v>
      </c>
      <c r="C83" s="170">
        <v>6</v>
      </c>
      <c r="D83" s="174" t="s">
        <v>98</v>
      </c>
      <c r="E83" s="176">
        <v>115</v>
      </c>
      <c r="F83" s="169">
        <f t="shared" si="10"/>
        <v>116</v>
      </c>
      <c r="G83" s="178"/>
      <c r="H83" s="199">
        <f t="shared" si="8"/>
        <v>1</v>
      </c>
    </row>
    <row r="84" spans="1:8">
      <c r="A84" s="171" t="str">
        <f t="shared" si="9"/>
        <v>山鹿地域</v>
      </c>
      <c r="B84" s="174" t="str">
        <f t="shared" si="11"/>
        <v>三岳地区</v>
      </c>
      <c r="C84" s="169">
        <v>7</v>
      </c>
      <c r="D84" s="169" t="s">
        <v>99</v>
      </c>
      <c r="E84" s="176">
        <v>53</v>
      </c>
      <c r="F84" s="169">
        <f t="shared" si="10"/>
        <v>54</v>
      </c>
      <c r="G84" s="178"/>
      <c r="H84" s="199">
        <f t="shared" si="8"/>
        <v>1</v>
      </c>
    </row>
    <row r="85" spans="1:8">
      <c r="A85" s="171" t="str">
        <f t="shared" si="9"/>
        <v>山鹿地域</v>
      </c>
      <c r="B85" s="174" t="str">
        <f t="shared" si="11"/>
        <v>三岳地区</v>
      </c>
      <c r="C85" s="170">
        <v>8</v>
      </c>
      <c r="D85" s="174" t="s">
        <v>100</v>
      </c>
      <c r="E85" s="176">
        <v>32</v>
      </c>
      <c r="F85" s="169">
        <f t="shared" si="10"/>
        <v>33</v>
      </c>
      <c r="G85" s="178"/>
      <c r="H85" s="199">
        <f t="shared" si="8"/>
        <v>1</v>
      </c>
    </row>
    <row r="86" spans="1:8">
      <c r="A86" s="171" t="str">
        <f t="shared" si="9"/>
        <v>山鹿地域</v>
      </c>
      <c r="B86" s="174" t="str">
        <f t="shared" si="11"/>
        <v>三岳地区</v>
      </c>
      <c r="C86" s="170">
        <v>9</v>
      </c>
      <c r="D86" s="179" t="s">
        <v>101</v>
      </c>
      <c r="E86" s="176">
        <v>67</v>
      </c>
      <c r="F86" s="169">
        <f>SUM(E86+1)</f>
        <v>68</v>
      </c>
      <c r="G86" s="178"/>
      <c r="H86" s="199">
        <f t="shared" si="8"/>
        <v>1</v>
      </c>
    </row>
    <row r="87" spans="1:8">
      <c r="A87" s="171" t="str">
        <f t="shared" si="9"/>
        <v>山鹿地域</v>
      </c>
      <c r="B87" s="174" t="str">
        <f t="shared" si="11"/>
        <v>三岳地区</v>
      </c>
      <c r="C87" s="170">
        <v>10</v>
      </c>
      <c r="D87" s="179" t="s">
        <v>102</v>
      </c>
      <c r="E87" s="176">
        <v>75</v>
      </c>
      <c r="F87" s="169">
        <f>SUM(E87+1)</f>
        <v>76</v>
      </c>
      <c r="G87" s="178"/>
      <c r="H87" s="199">
        <f t="shared" si="8"/>
        <v>1</v>
      </c>
    </row>
    <row r="88" spans="1:8">
      <c r="A88" s="171" t="str">
        <f t="shared" si="9"/>
        <v>山鹿地域</v>
      </c>
      <c r="B88" s="174" t="str">
        <f t="shared" si="11"/>
        <v>三岳地区</v>
      </c>
      <c r="C88" s="170">
        <v>11</v>
      </c>
      <c r="D88" s="174" t="s">
        <v>103</v>
      </c>
      <c r="E88" s="176">
        <v>100</v>
      </c>
      <c r="F88" s="169">
        <f t="shared" si="10"/>
        <v>101</v>
      </c>
      <c r="G88" s="181">
        <f>SUM(F78:F88)</f>
        <v>700</v>
      </c>
      <c r="H88" s="199">
        <f t="shared" si="8"/>
        <v>1</v>
      </c>
    </row>
    <row r="89" spans="1:8">
      <c r="A89" s="171" t="str">
        <f t="shared" si="9"/>
        <v>山鹿地域</v>
      </c>
      <c r="B89" s="174" t="s">
        <v>104</v>
      </c>
      <c r="C89" s="170">
        <v>1</v>
      </c>
      <c r="D89" s="174" t="s">
        <v>105</v>
      </c>
      <c r="E89" s="176">
        <v>85</v>
      </c>
      <c r="F89" s="169">
        <f t="shared" si="10"/>
        <v>86</v>
      </c>
      <c r="G89" s="178"/>
      <c r="H89" s="199">
        <f t="shared" si="8"/>
        <v>1</v>
      </c>
    </row>
    <row r="90" spans="1:8">
      <c r="A90" s="171" t="str">
        <f t="shared" si="9"/>
        <v>山鹿地域</v>
      </c>
      <c r="B90" s="174" t="str">
        <f t="shared" ref="B90:B99" si="12">B89</f>
        <v>三玉地区</v>
      </c>
      <c r="C90" s="170">
        <v>2</v>
      </c>
      <c r="D90" s="174" t="s">
        <v>106</v>
      </c>
      <c r="E90" s="176">
        <v>50</v>
      </c>
      <c r="F90" s="169">
        <f t="shared" si="10"/>
        <v>51</v>
      </c>
      <c r="G90" s="178"/>
      <c r="H90" s="199">
        <f t="shared" si="8"/>
        <v>1</v>
      </c>
    </row>
    <row r="91" spans="1:8">
      <c r="A91" s="171" t="str">
        <f t="shared" si="9"/>
        <v>山鹿地域</v>
      </c>
      <c r="B91" s="174" t="str">
        <f t="shared" si="12"/>
        <v>三玉地区</v>
      </c>
      <c r="C91" s="170">
        <v>4</v>
      </c>
      <c r="D91" s="169" t="s">
        <v>107</v>
      </c>
      <c r="E91" s="176">
        <v>259</v>
      </c>
      <c r="F91" s="169">
        <f t="shared" si="10"/>
        <v>260</v>
      </c>
      <c r="G91" s="178"/>
      <c r="H91" s="199">
        <f t="shared" si="8"/>
        <v>1</v>
      </c>
    </row>
    <row r="92" spans="1:8">
      <c r="A92" s="171" t="str">
        <f t="shared" si="9"/>
        <v>山鹿地域</v>
      </c>
      <c r="B92" s="174" t="str">
        <f t="shared" si="12"/>
        <v>三玉地区</v>
      </c>
      <c r="C92" s="170" t="s">
        <v>108</v>
      </c>
      <c r="D92" s="174" t="s">
        <v>109</v>
      </c>
      <c r="E92" s="176">
        <v>33</v>
      </c>
      <c r="F92" s="169">
        <f t="shared" si="10"/>
        <v>34</v>
      </c>
      <c r="G92" s="178"/>
      <c r="H92" s="199">
        <f t="shared" si="8"/>
        <v>1</v>
      </c>
    </row>
    <row r="93" spans="1:8">
      <c r="A93" s="171" t="str">
        <f t="shared" si="9"/>
        <v>山鹿地域</v>
      </c>
      <c r="B93" s="174" t="str">
        <f t="shared" si="12"/>
        <v>三玉地区</v>
      </c>
      <c r="C93" s="170" t="s">
        <v>110</v>
      </c>
      <c r="D93" s="169" t="s">
        <v>111</v>
      </c>
      <c r="E93" s="176">
        <v>84</v>
      </c>
      <c r="F93" s="169">
        <f t="shared" si="10"/>
        <v>85</v>
      </c>
      <c r="G93" s="178"/>
      <c r="H93" s="199">
        <f t="shared" si="8"/>
        <v>1</v>
      </c>
    </row>
    <row r="94" spans="1:8">
      <c r="A94" s="171" t="str">
        <f t="shared" si="9"/>
        <v>山鹿地域</v>
      </c>
      <c r="B94" s="174" t="str">
        <f t="shared" si="12"/>
        <v>三玉地区</v>
      </c>
      <c r="C94" s="170">
        <v>6</v>
      </c>
      <c r="D94" s="174" t="s">
        <v>112</v>
      </c>
      <c r="E94" s="176">
        <v>105</v>
      </c>
      <c r="F94" s="169">
        <f t="shared" si="10"/>
        <v>106</v>
      </c>
      <c r="G94" s="178"/>
      <c r="H94" s="199">
        <f t="shared" si="8"/>
        <v>1</v>
      </c>
    </row>
    <row r="95" spans="1:8">
      <c r="A95" s="171" t="str">
        <f t="shared" si="9"/>
        <v>山鹿地域</v>
      </c>
      <c r="B95" s="174" t="str">
        <f t="shared" si="12"/>
        <v>三玉地区</v>
      </c>
      <c r="C95" s="170" t="s">
        <v>113</v>
      </c>
      <c r="D95" s="179" t="s">
        <v>114</v>
      </c>
      <c r="E95" s="176">
        <v>27</v>
      </c>
      <c r="F95" s="170">
        <f t="shared" si="10"/>
        <v>28</v>
      </c>
      <c r="G95" s="178"/>
      <c r="H95" s="199">
        <f t="shared" si="8"/>
        <v>1</v>
      </c>
    </row>
    <row r="96" spans="1:8">
      <c r="A96" s="171" t="str">
        <f t="shared" si="9"/>
        <v>山鹿地域</v>
      </c>
      <c r="B96" s="174" t="str">
        <f t="shared" si="12"/>
        <v>三玉地区</v>
      </c>
      <c r="C96" s="170" t="s">
        <v>115</v>
      </c>
      <c r="D96" s="169" t="s">
        <v>116</v>
      </c>
      <c r="E96" s="176">
        <v>60</v>
      </c>
      <c r="F96" s="169">
        <f t="shared" si="10"/>
        <v>61</v>
      </c>
      <c r="G96" s="178"/>
      <c r="H96" s="199">
        <f t="shared" si="8"/>
        <v>1</v>
      </c>
    </row>
    <row r="97" spans="1:8">
      <c r="A97" s="171" t="str">
        <f t="shared" si="9"/>
        <v>山鹿地域</v>
      </c>
      <c r="B97" s="174" t="str">
        <f t="shared" si="12"/>
        <v>三玉地区</v>
      </c>
      <c r="C97" s="170">
        <v>8</v>
      </c>
      <c r="D97" s="179" t="s">
        <v>117</v>
      </c>
      <c r="E97" s="176">
        <v>33</v>
      </c>
      <c r="F97" s="170">
        <f t="shared" si="10"/>
        <v>34</v>
      </c>
      <c r="G97" s="178"/>
      <c r="H97" s="199">
        <f t="shared" si="8"/>
        <v>1</v>
      </c>
    </row>
    <row r="98" spans="1:8">
      <c r="A98" s="171" t="str">
        <f t="shared" si="9"/>
        <v>山鹿地域</v>
      </c>
      <c r="B98" s="174" t="str">
        <f t="shared" si="12"/>
        <v>三玉地区</v>
      </c>
      <c r="C98" s="170">
        <v>10</v>
      </c>
      <c r="D98" s="169" t="s">
        <v>118</v>
      </c>
      <c r="E98" s="176">
        <v>101</v>
      </c>
      <c r="F98" s="170">
        <f t="shared" si="10"/>
        <v>102</v>
      </c>
      <c r="G98" s="178"/>
      <c r="H98" s="199">
        <f t="shared" si="8"/>
        <v>1</v>
      </c>
    </row>
    <row r="99" spans="1:8">
      <c r="A99" s="171" t="str">
        <f t="shared" si="9"/>
        <v>山鹿地域</v>
      </c>
      <c r="B99" s="174" t="str">
        <f t="shared" si="12"/>
        <v>三玉地区</v>
      </c>
      <c r="C99" s="170">
        <v>11</v>
      </c>
      <c r="D99" s="179" t="s">
        <v>119</v>
      </c>
      <c r="E99" s="176">
        <v>170</v>
      </c>
      <c r="F99" s="170">
        <f t="shared" si="10"/>
        <v>171</v>
      </c>
      <c r="G99" s="181">
        <f>SUM(F89:F99)</f>
        <v>1018</v>
      </c>
      <c r="H99" s="199">
        <f t="shared" si="8"/>
        <v>1</v>
      </c>
    </row>
    <row r="100" spans="1:8">
      <c r="A100" s="171" t="str">
        <f t="shared" si="9"/>
        <v>山鹿地域</v>
      </c>
      <c r="B100" s="174" t="s">
        <v>120</v>
      </c>
      <c r="C100" s="170">
        <v>1</v>
      </c>
      <c r="D100" s="179" t="s">
        <v>121</v>
      </c>
      <c r="E100" s="176">
        <v>72</v>
      </c>
      <c r="F100" s="170">
        <f t="shared" si="10"/>
        <v>73</v>
      </c>
      <c r="G100" s="178"/>
      <c r="H100" s="199">
        <f t="shared" si="8"/>
        <v>1</v>
      </c>
    </row>
    <row r="101" spans="1:8">
      <c r="A101" s="171" t="str">
        <f t="shared" si="9"/>
        <v>山鹿地域</v>
      </c>
      <c r="B101" s="174" t="str">
        <f t="shared" ref="B101:B117" si="13">B100</f>
        <v>大道地区</v>
      </c>
      <c r="C101" s="169">
        <v>2</v>
      </c>
      <c r="D101" s="174" t="s">
        <v>122</v>
      </c>
      <c r="E101" s="176">
        <v>46</v>
      </c>
      <c r="F101" s="169">
        <f t="shared" si="10"/>
        <v>47</v>
      </c>
      <c r="G101" s="178"/>
      <c r="H101" s="199">
        <f t="shared" si="8"/>
        <v>1</v>
      </c>
    </row>
    <row r="102" spans="1:8">
      <c r="A102" s="171" t="str">
        <f t="shared" si="9"/>
        <v>山鹿地域</v>
      </c>
      <c r="B102" s="174" t="str">
        <f t="shared" si="13"/>
        <v>大道地区</v>
      </c>
      <c r="C102" s="170">
        <v>3</v>
      </c>
      <c r="D102" s="179" t="s">
        <v>123</v>
      </c>
      <c r="E102" s="176">
        <v>189</v>
      </c>
      <c r="F102" s="170">
        <f t="shared" si="10"/>
        <v>190</v>
      </c>
      <c r="G102" s="178"/>
      <c r="H102" s="199">
        <f t="shared" si="8"/>
        <v>1</v>
      </c>
    </row>
    <row r="103" spans="1:8">
      <c r="A103" s="171" t="str">
        <f t="shared" si="9"/>
        <v>山鹿地域</v>
      </c>
      <c r="B103" s="174" t="str">
        <f t="shared" si="13"/>
        <v>大道地区</v>
      </c>
      <c r="C103" s="170">
        <v>4</v>
      </c>
      <c r="D103" s="179" t="s">
        <v>124</v>
      </c>
      <c r="E103" s="176">
        <v>393</v>
      </c>
      <c r="F103" s="170">
        <f t="shared" si="10"/>
        <v>394</v>
      </c>
      <c r="G103" s="178"/>
      <c r="H103" s="199">
        <f t="shared" si="8"/>
        <v>1</v>
      </c>
    </row>
    <row r="104" spans="1:8">
      <c r="A104" s="171" t="str">
        <f t="shared" si="9"/>
        <v>山鹿地域</v>
      </c>
      <c r="B104" s="174" t="str">
        <f t="shared" si="13"/>
        <v>大道地区</v>
      </c>
      <c r="C104" s="170">
        <v>5</v>
      </c>
      <c r="D104" s="174" t="s">
        <v>125</v>
      </c>
      <c r="E104" s="176">
        <v>217</v>
      </c>
      <c r="F104" s="177">
        <f>SUM(E104+1)</f>
        <v>218</v>
      </c>
      <c r="G104" s="178"/>
      <c r="H104" s="199">
        <f t="shared" si="8"/>
        <v>1</v>
      </c>
    </row>
    <row r="105" spans="1:8">
      <c r="A105" s="171" t="str">
        <f t="shared" si="9"/>
        <v>山鹿地域</v>
      </c>
      <c r="B105" s="174" t="str">
        <f t="shared" si="13"/>
        <v>大道地区</v>
      </c>
      <c r="C105" s="170" t="s">
        <v>126</v>
      </c>
      <c r="D105" s="179" t="s">
        <v>127</v>
      </c>
      <c r="E105" s="176">
        <v>232</v>
      </c>
      <c r="F105" s="169">
        <f t="shared" si="10"/>
        <v>233</v>
      </c>
      <c r="G105" s="178"/>
      <c r="H105" s="199">
        <f t="shared" si="8"/>
        <v>1</v>
      </c>
    </row>
    <row r="106" spans="1:8">
      <c r="A106" s="171" t="str">
        <f t="shared" si="9"/>
        <v>山鹿地域</v>
      </c>
      <c r="B106" s="174" t="str">
        <f t="shared" si="13"/>
        <v>大道地区</v>
      </c>
      <c r="C106" s="170" t="s">
        <v>128</v>
      </c>
      <c r="D106" s="179" t="s">
        <v>129</v>
      </c>
      <c r="E106" s="176">
        <v>331</v>
      </c>
      <c r="F106" s="177">
        <f>SUM(E106+1)</f>
        <v>332</v>
      </c>
      <c r="G106" s="178"/>
      <c r="H106" s="199">
        <f t="shared" si="8"/>
        <v>1</v>
      </c>
    </row>
    <row r="107" spans="1:8">
      <c r="A107" s="171" t="str">
        <f t="shared" si="9"/>
        <v>山鹿地域</v>
      </c>
      <c r="B107" s="174" t="str">
        <f t="shared" si="13"/>
        <v>大道地区</v>
      </c>
      <c r="C107" s="170" t="s">
        <v>130</v>
      </c>
      <c r="D107" s="179" t="s">
        <v>131</v>
      </c>
      <c r="E107" s="176">
        <v>235</v>
      </c>
      <c r="F107" s="170">
        <f t="shared" si="10"/>
        <v>236</v>
      </c>
      <c r="G107" s="178"/>
      <c r="H107" s="199">
        <f t="shared" si="8"/>
        <v>1</v>
      </c>
    </row>
    <row r="108" spans="1:8">
      <c r="A108" s="171" t="str">
        <f t="shared" si="9"/>
        <v>山鹿地域</v>
      </c>
      <c r="B108" s="174" t="str">
        <f t="shared" si="13"/>
        <v>大道地区</v>
      </c>
      <c r="C108" s="170" t="s">
        <v>132</v>
      </c>
      <c r="D108" s="179" t="s">
        <v>133</v>
      </c>
      <c r="E108" s="176">
        <v>110</v>
      </c>
      <c r="F108" s="170">
        <f t="shared" si="10"/>
        <v>111</v>
      </c>
      <c r="G108" s="178"/>
      <c r="H108" s="199">
        <f t="shared" si="8"/>
        <v>1</v>
      </c>
    </row>
    <row r="109" spans="1:8">
      <c r="A109" s="171" t="str">
        <f t="shared" si="9"/>
        <v>山鹿地域</v>
      </c>
      <c r="B109" s="174" t="str">
        <f t="shared" si="13"/>
        <v>大道地区</v>
      </c>
      <c r="C109" s="170" t="s">
        <v>134</v>
      </c>
      <c r="D109" s="179" t="s">
        <v>135</v>
      </c>
      <c r="E109" s="169">
        <v>221</v>
      </c>
      <c r="F109" s="170">
        <f t="shared" si="10"/>
        <v>222</v>
      </c>
      <c r="G109" s="178" t="s">
        <v>151</v>
      </c>
      <c r="H109" s="199">
        <f t="shared" si="8"/>
        <v>1</v>
      </c>
    </row>
    <row r="110" spans="1:8">
      <c r="A110" s="171" t="str">
        <f t="shared" si="9"/>
        <v>山鹿地域</v>
      </c>
      <c r="B110" s="174" t="str">
        <f t="shared" si="13"/>
        <v>大道地区</v>
      </c>
      <c r="C110" s="170">
        <v>7</v>
      </c>
      <c r="D110" s="174" t="s">
        <v>136</v>
      </c>
      <c r="E110" s="176">
        <v>110</v>
      </c>
      <c r="F110" s="169">
        <f t="shared" si="10"/>
        <v>111</v>
      </c>
      <c r="G110" s="178"/>
      <c r="H110" s="199">
        <f t="shared" si="8"/>
        <v>1</v>
      </c>
    </row>
    <row r="111" spans="1:8">
      <c r="A111" s="171" t="str">
        <f t="shared" si="9"/>
        <v>山鹿地域</v>
      </c>
      <c r="B111" s="174" t="str">
        <f t="shared" si="13"/>
        <v>大道地区</v>
      </c>
      <c r="C111" s="170" t="s">
        <v>137</v>
      </c>
      <c r="D111" s="174" t="s">
        <v>138</v>
      </c>
      <c r="E111" s="176">
        <v>295</v>
      </c>
      <c r="F111" s="169">
        <f t="shared" si="10"/>
        <v>296</v>
      </c>
      <c r="G111" s="178"/>
      <c r="H111" s="199">
        <f t="shared" si="8"/>
        <v>1</v>
      </c>
    </row>
    <row r="112" spans="1:8">
      <c r="A112" s="171" t="str">
        <f t="shared" si="9"/>
        <v>山鹿地域</v>
      </c>
      <c r="B112" s="174" t="str">
        <f t="shared" si="13"/>
        <v>大道地区</v>
      </c>
      <c r="C112" s="170" t="s">
        <v>139</v>
      </c>
      <c r="D112" s="179" t="s">
        <v>140</v>
      </c>
      <c r="E112" s="176">
        <v>100</v>
      </c>
      <c r="F112" s="170">
        <f t="shared" si="10"/>
        <v>101</v>
      </c>
      <c r="G112" s="178"/>
      <c r="H112" s="199">
        <f t="shared" si="8"/>
        <v>1</v>
      </c>
    </row>
    <row r="113" spans="1:8">
      <c r="A113" s="171" t="str">
        <f t="shared" si="9"/>
        <v>山鹿地域</v>
      </c>
      <c r="B113" s="174" t="str">
        <f t="shared" si="13"/>
        <v>大道地区</v>
      </c>
      <c r="C113" s="170" t="s">
        <v>141</v>
      </c>
      <c r="D113" s="174" t="s">
        <v>142</v>
      </c>
      <c r="E113" s="176">
        <v>320</v>
      </c>
      <c r="F113" s="170">
        <f t="shared" si="10"/>
        <v>321</v>
      </c>
      <c r="G113" s="178"/>
      <c r="H113" s="199">
        <f t="shared" si="8"/>
        <v>1</v>
      </c>
    </row>
    <row r="114" spans="1:8">
      <c r="A114" s="171" t="str">
        <f t="shared" si="9"/>
        <v>山鹿地域</v>
      </c>
      <c r="B114" s="174" t="str">
        <f t="shared" si="13"/>
        <v>大道地区</v>
      </c>
      <c r="C114" s="169" t="s">
        <v>143</v>
      </c>
      <c r="D114" s="174" t="s">
        <v>144</v>
      </c>
      <c r="E114" s="169">
        <v>464</v>
      </c>
      <c r="F114" s="169">
        <f t="shared" si="10"/>
        <v>465</v>
      </c>
      <c r="G114" s="178"/>
      <c r="H114" s="199">
        <f t="shared" si="8"/>
        <v>1</v>
      </c>
    </row>
    <row r="115" spans="1:8">
      <c r="A115" s="171" t="str">
        <f t="shared" si="9"/>
        <v>山鹿地域</v>
      </c>
      <c r="B115" s="174" t="str">
        <f t="shared" si="13"/>
        <v>大道地区</v>
      </c>
      <c r="C115" s="169" t="s">
        <v>145</v>
      </c>
      <c r="D115" s="174" t="s">
        <v>146</v>
      </c>
      <c r="E115" s="176">
        <v>274</v>
      </c>
      <c r="F115" s="169">
        <f t="shared" si="10"/>
        <v>275</v>
      </c>
      <c r="G115" s="178"/>
      <c r="H115" s="199">
        <f t="shared" si="8"/>
        <v>1</v>
      </c>
    </row>
    <row r="116" spans="1:8">
      <c r="A116" s="171" t="str">
        <f t="shared" si="9"/>
        <v>山鹿地域</v>
      </c>
      <c r="B116" s="174" t="str">
        <f t="shared" si="13"/>
        <v>大道地区</v>
      </c>
      <c r="C116" s="169" t="s">
        <v>147</v>
      </c>
      <c r="D116" s="174" t="s">
        <v>148</v>
      </c>
      <c r="E116" s="176">
        <v>380</v>
      </c>
      <c r="F116" s="169">
        <f t="shared" si="10"/>
        <v>381</v>
      </c>
      <c r="G116" s="178"/>
      <c r="H116" s="199">
        <f t="shared" si="8"/>
        <v>1</v>
      </c>
    </row>
    <row r="117" spans="1:8">
      <c r="A117" s="171" t="str">
        <f t="shared" si="9"/>
        <v>山鹿地域</v>
      </c>
      <c r="B117" s="174" t="str">
        <f t="shared" si="13"/>
        <v>大道地区</v>
      </c>
      <c r="C117" s="169">
        <v>10</v>
      </c>
      <c r="D117" s="174" t="s">
        <v>149</v>
      </c>
      <c r="E117" s="176">
        <v>82</v>
      </c>
      <c r="F117" s="169">
        <f t="shared" si="10"/>
        <v>83</v>
      </c>
      <c r="G117" s="181">
        <f>SUM(F100:F117)</f>
        <v>4089</v>
      </c>
      <c r="H117" s="199">
        <f t="shared" si="8"/>
        <v>1</v>
      </c>
    </row>
    <row r="118" spans="1:8">
      <c r="A118" s="171" t="s">
        <v>203</v>
      </c>
      <c r="B118" s="169" t="s">
        <v>152</v>
      </c>
      <c r="C118" s="170">
        <v>1</v>
      </c>
      <c r="D118" s="170" t="s">
        <v>153</v>
      </c>
      <c r="E118" s="170">
        <v>15</v>
      </c>
      <c r="F118" s="170">
        <f>SUM(E118+1)</f>
        <v>16</v>
      </c>
      <c r="G118" s="178"/>
      <c r="H118" s="199">
        <f t="shared" si="8"/>
        <v>1</v>
      </c>
    </row>
    <row r="119" spans="1:8">
      <c r="A119" s="171" t="s">
        <v>203</v>
      </c>
      <c r="B119" s="170" t="s">
        <v>320</v>
      </c>
      <c r="C119" s="170">
        <v>2</v>
      </c>
      <c r="D119" s="170" t="s">
        <v>154</v>
      </c>
      <c r="E119" s="170">
        <v>2</v>
      </c>
      <c r="F119" s="170">
        <f t="shared" ref="F119:F165" si="14">SUM(E119+1)</f>
        <v>3</v>
      </c>
      <c r="G119" s="178"/>
      <c r="H119" s="199">
        <f t="shared" si="8"/>
        <v>1</v>
      </c>
    </row>
    <row r="120" spans="1:8">
      <c r="A120" s="171" t="s">
        <v>203</v>
      </c>
      <c r="B120" s="170" t="s">
        <v>320</v>
      </c>
      <c r="C120" s="170">
        <v>3</v>
      </c>
      <c r="D120" s="170" t="s">
        <v>155</v>
      </c>
      <c r="E120" s="170">
        <v>24</v>
      </c>
      <c r="F120" s="170">
        <f t="shared" si="14"/>
        <v>25</v>
      </c>
      <c r="G120" s="178"/>
      <c r="H120" s="199">
        <f t="shared" si="8"/>
        <v>1</v>
      </c>
    </row>
    <row r="121" spans="1:8">
      <c r="A121" s="171" t="s">
        <v>203</v>
      </c>
      <c r="B121" s="170" t="s">
        <v>320</v>
      </c>
      <c r="C121" s="170">
        <v>4</v>
      </c>
      <c r="D121" s="170" t="s">
        <v>156</v>
      </c>
      <c r="E121" s="170">
        <v>12</v>
      </c>
      <c r="F121" s="170">
        <f t="shared" si="14"/>
        <v>13</v>
      </c>
      <c r="G121" s="178"/>
      <c r="H121" s="199">
        <f t="shared" si="8"/>
        <v>1</v>
      </c>
    </row>
    <row r="122" spans="1:8">
      <c r="A122" s="171" t="s">
        <v>203</v>
      </c>
      <c r="B122" s="170" t="s">
        <v>320</v>
      </c>
      <c r="C122" s="170">
        <v>5</v>
      </c>
      <c r="D122" s="169" t="s">
        <v>157</v>
      </c>
      <c r="E122" s="170">
        <v>37</v>
      </c>
      <c r="F122" s="169">
        <f t="shared" si="14"/>
        <v>38</v>
      </c>
      <c r="G122" s="178"/>
      <c r="H122" s="199">
        <f t="shared" si="8"/>
        <v>1</v>
      </c>
    </row>
    <row r="123" spans="1:8">
      <c r="A123" s="171" t="s">
        <v>203</v>
      </c>
      <c r="B123" s="170" t="s">
        <v>320</v>
      </c>
      <c r="C123" s="170">
        <v>6</v>
      </c>
      <c r="D123" s="170" t="s">
        <v>158</v>
      </c>
      <c r="E123" s="170">
        <v>8</v>
      </c>
      <c r="F123" s="170">
        <f t="shared" si="14"/>
        <v>9</v>
      </c>
      <c r="G123" s="178"/>
      <c r="H123" s="199">
        <f t="shared" si="8"/>
        <v>1</v>
      </c>
    </row>
    <row r="124" spans="1:8">
      <c r="A124" s="171" t="s">
        <v>203</v>
      </c>
      <c r="B124" s="170" t="s">
        <v>320</v>
      </c>
      <c r="C124" s="170">
        <v>7</v>
      </c>
      <c r="D124" s="170" t="s">
        <v>159</v>
      </c>
      <c r="E124" s="170">
        <v>10</v>
      </c>
      <c r="F124" s="170">
        <f t="shared" si="14"/>
        <v>11</v>
      </c>
      <c r="G124" s="178"/>
      <c r="H124" s="199">
        <f t="shared" si="8"/>
        <v>1</v>
      </c>
    </row>
    <row r="125" spans="1:8">
      <c r="A125" s="171" t="s">
        <v>203</v>
      </c>
      <c r="B125" s="170" t="s">
        <v>320</v>
      </c>
      <c r="C125" s="170">
        <v>8</v>
      </c>
      <c r="D125" s="170" t="s">
        <v>160</v>
      </c>
      <c r="E125" s="170">
        <v>18</v>
      </c>
      <c r="F125" s="170">
        <f t="shared" si="14"/>
        <v>19</v>
      </c>
      <c r="G125" s="178"/>
      <c r="H125" s="199">
        <f t="shared" si="8"/>
        <v>1</v>
      </c>
    </row>
    <row r="126" spans="1:8">
      <c r="A126" s="171" t="s">
        <v>203</v>
      </c>
      <c r="B126" s="170" t="s">
        <v>320</v>
      </c>
      <c r="C126" s="170">
        <v>9</v>
      </c>
      <c r="D126" s="170" t="s">
        <v>161</v>
      </c>
      <c r="E126" s="170">
        <v>38</v>
      </c>
      <c r="F126" s="170">
        <f t="shared" si="14"/>
        <v>39</v>
      </c>
      <c r="G126" s="178"/>
      <c r="H126" s="199">
        <f t="shared" si="8"/>
        <v>1</v>
      </c>
    </row>
    <row r="127" spans="1:8">
      <c r="A127" s="171" t="s">
        <v>203</v>
      </c>
      <c r="B127" s="170" t="s">
        <v>320</v>
      </c>
      <c r="C127" s="170">
        <v>10</v>
      </c>
      <c r="D127" s="170" t="s">
        <v>162</v>
      </c>
      <c r="E127" s="170">
        <v>30</v>
      </c>
      <c r="F127" s="170">
        <f t="shared" si="14"/>
        <v>31</v>
      </c>
      <c r="G127" s="178"/>
      <c r="H127" s="199">
        <f t="shared" si="8"/>
        <v>1</v>
      </c>
    </row>
    <row r="128" spans="1:8">
      <c r="A128" s="171" t="s">
        <v>203</v>
      </c>
      <c r="B128" s="170" t="s">
        <v>320</v>
      </c>
      <c r="C128" s="170">
        <v>11</v>
      </c>
      <c r="D128" s="170" t="s">
        <v>163</v>
      </c>
      <c r="E128" s="170">
        <v>29</v>
      </c>
      <c r="F128" s="170">
        <f t="shared" si="14"/>
        <v>30</v>
      </c>
      <c r="G128" s="178"/>
      <c r="H128" s="199">
        <f t="shared" si="8"/>
        <v>1</v>
      </c>
    </row>
    <row r="129" spans="1:8">
      <c r="A129" s="171" t="s">
        <v>203</v>
      </c>
      <c r="B129" s="170" t="s">
        <v>320</v>
      </c>
      <c r="C129" s="170">
        <v>12</v>
      </c>
      <c r="D129" s="170" t="s">
        <v>164</v>
      </c>
      <c r="E129" s="170">
        <v>6</v>
      </c>
      <c r="F129" s="170">
        <f t="shared" si="14"/>
        <v>7</v>
      </c>
      <c r="G129" s="178"/>
      <c r="H129" s="199">
        <f t="shared" si="8"/>
        <v>1</v>
      </c>
    </row>
    <row r="130" spans="1:8">
      <c r="A130" s="171" t="s">
        <v>203</v>
      </c>
      <c r="B130" s="170" t="s">
        <v>320</v>
      </c>
      <c r="C130" s="170">
        <v>13</v>
      </c>
      <c r="D130" s="170" t="s">
        <v>165</v>
      </c>
      <c r="E130" s="170">
        <v>8</v>
      </c>
      <c r="F130" s="170">
        <f>SUM(E130+1)</f>
        <v>9</v>
      </c>
      <c r="G130" s="178"/>
      <c r="H130" s="199">
        <f t="shared" si="8"/>
        <v>1</v>
      </c>
    </row>
    <row r="131" spans="1:8">
      <c r="A131" s="171" t="s">
        <v>203</v>
      </c>
      <c r="B131" s="170" t="s">
        <v>320</v>
      </c>
      <c r="C131" s="170">
        <v>14</v>
      </c>
      <c r="D131" s="170" t="s">
        <v>166</v>
      </c>
      <c r="E131" s="170">
        <v>18</v>
      </c>
      <c r="F131" s="170">
        <f t="shared" si="14"/>
        <v>19</v>
      </c>
      <c r="G131" s="178">
        <f>SUM(F118:F131)</f>
        <v>269</v>
      </c>
      <c r="H131" s="199">
        <f t="shared" ref="H131:H194" si="15">F131-E131</f>
        <v>1</v>
      </c>
    </row>
    <row r="132" spans="1:8">
      <c r="A132" s="171" t="s">
        <v>203</v>
      </c>
      <c r="B132" s="169" t="s">
        <v>167</v>
      </c>
      <c r="C132" s="170">
        <v>1</v>
      </c>
      <c r="D132" s="170" t="s">
        <v>168</v>
      </c>
      <c r="E132" s="170">
        <v>21</v>
      </c>
      <c r="F132" s="170">
        <f t="shared" si="14"/>
        <v>22</v>
      </c>
      <c r="G132" s="178"/>
      <c r="H132" s="199">
        <f t="shared" si="15"/>
        <v>1</v>
      </c>
    </row>
    <row r="133" spans="1:8">
      <c r="A133" s="171" t="s">
        <v>203</v>
      </c>
      <c r="B133" s="170" t="s">
        <v>321</v>
      </c>
      <c r="C133" s="170">
        <v>2</v>
      </c>
      <c r="D133" s="170" t="s">
        <v>169</v>
      </c>
      <c r="E133" s="170">
        <v>14</v>
      </c>
      <c r="F133" s="170">
        <f t="shared" si="14"/>
        <v>15</v>
      </c>
      <c r="G133" s="178"/>
      <c r="H133" s="199">
        <f t="shared" si="15"/>
        <v>1</v>
      </c>
    </row>
    <row r="134" spans="1:8">
      <c r="A134" s="171" t="s">
        <v>203</v>
      </c>
      <c r="B134" s="170" t="s">
        <v>321</v>
      </c>
      <c r="C134" s="170">
        <v>3</v>
      </c>
      <c r="D134" s="170" t="s">
        <v>170</v>
      </c>
      <c r="E134" s="170">
        <v>32</v>
      </c>
      <c r="F134" s="170">
        <f t="shared" si="14"/>
        <v>33</v>
      </c>
      <c r="G134" s="178"/>
      <c r="H134" s="199">
        <f t="shared" si="15"/>
        <v>1</v>
      </c>
    </row>
    <row r="135" spans="1:8">
      <c r="A135" s="171" t="s">
        <v>203</v>
      </c>
      <c r="B135" s="170" t="s">
        <v>321</v>
      </c>
      <c r="C135" s="170">
        <v>4</v>
      </c>
      <c r="D135" s="170" t="s">
        <v>171</v>
      </c>
      <c r="E135" s="170">
        <v>26</v>
      </c>
      <c r="F135" s="170">
        <f t="shared" si="14"/>
        <v>27</v>
      </c>
      <c r="G135" s="178"/>
      <c r="H135" s="199">
        <f t="shared" si="15"/>
        <v>1</v>
      </c>
    </row>
    <row r="136" spans="1:8">
      <c r="A136" s="171" t="s">
        <v>203</v>
      </c>
      <c r="B136" s="170" t="s">
        <v>321</v>
      </c>
      <c r="C136" s="170">
        <v>5</v>
      </c>
      <c r="D136" s="170" t="s">
        <v>172</v>
      </c>
      <c r="E136" s="170">
        <v>20</v>
      </c>
      <c r="F136" s="170">
        <f t="shared" si="14"/>
        <v>21</v>
      </c>
      <c r="G136" s="178"/>
      <c r="H136" s="199">
        <f t="shared" si="15"/>
        <v>1</v>
      </c>
    </row>
    <row r="137" spans="1:8">
      <c r="A137" s="171" t="s">
        <v>203</v>
      </c>
      <c r="B137" s="170" t="s">
        <v>321</v>
      </c>
      <c r="C137" s="170">
        <v>6</v>
      </c>
      <c r="D137" s="170" t="s">
        <v>173</v>
      </c>
      <c r="E137" s="170">
        <v>42</v>
      </c>
      <c r="F137" s="170">
        <f t="shared" si="14"/>
        <v>43</v>
      </c>
      <c r="G137" s="178"/>
      <c r="H137" s="199">
        <f t="shared" si="15"/>
        <v>1</v>
      </c>
    </row>
    <row r="138" spans="1:8">
      <c r="A138" s="171" t="s">
        <v>203</v>
      </c>
      <c r="B138" s="170" t="s">
        <v>321</v>
      </c>
      <c r="C138" s="170">
        <v>7</v>
      </c>
      <c r="D138" s="170" t="s">
        <v>174</v>
      </c>
      <c r="E138" s="170">
        <v>18</v>
      </c>
      <c r="F138" s="170">
        <f t="shared" si="14"/>
        <v>19</v>
      </c>
      <c r="G138" s="178"/>
      <c r="H138" s="199">
        <f t="shared" si="15"/>
        <v>1</v>
      </c>
    </row>
    <row r="139" spans="1:8">
      <c r="A139" s="171" t="s">
        <v>203</v>
      </c>
      <c r="B139" s="170" t="s">
        <v>321</v>
      </c>
      <c r="C139" s="170">
        <v>8</v>
      </c>
      <c r="D139" s="170" t="s">
        <v>175</v>
      </c>
      <c r="E139" s="170">
        <v>30</v>
      </c>
      <c r="F139" s="170">
        <f t="shared" si="14"/>
        <v>31</v>
      </c>
      <c r="G139" s="178"/>
      <c r="H139" s="199">
        <f t="shared" si="15"/>
        <v>1</v>
      </c>
    </row>
    <row r="140" spans="1:8">
      <c r="A140" s="171" t="s">
        <v>203</v>
      </c>
      <c r="B140" s="170" t="s">
        <v>321</v>
      </c>
      <c r="C140" s="170">
        <v>9</v>
      </c>
      <c r="D140" s="170" t="s">
        <v>176</v>
      </c>
      <c r="E140" s="170">
        <v>10</v>
      </c>
      <c r="F140" s="170">
        <f t="shared" si="14"/>
        <v>11</v>
      </c>
      <c r="G140" s="178"/>
      <c r="H140" s="199">
        <f t="shared" si="15"/>
        <v>1</v>
      </c>
    </row>
    <row r="141" spans="1:8">
      <c r="A141" s="171" t="s">
        <v>203</v>
      </c>
      <c r="B141" s="170" t="s">
        <v>321</v>
      </c>
      <c r="C141" s="170">
        <v>10</v>
      </c>
      <c r="D141" s="170" t="s">
        <v>177</v>
      </c>
      <c r="E141" s="170">
        <v>23</v>
      </c>
      <c r="F141" s="170">
        <f t="shared" si="14"/>
        <v>24</v>
      </c>
      <c r="G141" s="178"/>
      <c r="H141" s="199">
        <f t="shared" si="15"/>
        <v>1</v>
      </c>
    </row>
    <row r="142" spans="1:8">
      <c r="A142" s="171" t="s">
        <v>203</v>
      </c>
      <c r="B142" s="170" t="s">
        <v>321</v>
      </c>
      <c r="C142" s="170">
        <v>11</v>
      </c>
      <c r="D142" s="170" t="s">
        <v>178</v>
      </c>
      <c r="E142" s="170">
        <v>26</v>
      </c>
      <c r="F142" s="170">
        <f t="shared" si="14"/>
        <v>27</v>
      </c>
      <c r="G142" s="178"/>
      <c r="H142" s="199">
        <f t="shared" si="15"/>
        <v>1</v>
      </c>
    </row>
    <row r="143" spans="1:8">
      <c r="A143" s="171" t="s">
        <v>203</v>
      </c>
      <c r="B143" s="170" t="s">
        <v>321</v>
      </c>
      <c r="C143" s="170">
        <v>12</v>
      </c>
      <c r="D143" s="170" t="s">
        <v>179</v>
      </c>
      <c r="E143" s="170">
        <v>26</v>
      </c>
      <c r="F143" s="170">
        <f t="shared" si="14"/>
        <v>27</v>
      </c>
      <c r="G143" s="178"/>
      <c r="H143" s="199">
        <f t="shared" si="15"/>
        <v>1</v>
      </c>
    </row>
    <row r="144" spans="1:8">
      <c r="A144" s="171" t="s">
        <v>203</v>
      </c>
      <c r="B144" s="170" t="s">
        <v>321</v>
      </c>
      <c r="C144" s="170">
        <v>13</v>
      </c>
      <c r="D144" s="170" t="s">
        <v>180</v>
      </c>
      <c r="E144" s="170">
        <v>20</v>
      </c>
      <c r="F144" s="170">
        <f t="shared" si="14"/>
        <v>21</v>
      </c>
      <c r="G144" s="178"/>
      <c r="H144" s="199">
        <f t="shared" si="15"/>
        <v>1</v>
      </c>
    </row>
    <row r="145" spans="1:8">
      <c r="A145" s="171" t="s">
        <v>203</v>
      </c>
      <c r="B145" s="170" t="s">
        <v>321</v>
      </c>
      <c r="C145" s="170">
        <v>14</v>
      </c>
      <c r="D145" s="170" t="s">
        <v>181</v>
      </c>
      <c r="E145" s="170">
        <v>12</v>
      </c>
      <c r="F145" s="170">
        <f t="shared" si="14"/>
        <v>13</v>
      </c>
      <c r="G145" s="178"/>
      <c r="H145" s="199">
        <f t="shared" si="15"/>
        <v>1</v>
      </c>
    </row>
    <row r="146" spans="1:8">
      <c r="A146" s="171" t="s">
        <v>203</v>
      </c>
      <c r="B146" s="170" t="s">
        <v>321</v>
      </c>
      <c r="C146" s="170">
        <v>15</v>
      </c>
      <c r="D146" s="170" t="s">
        <v>182</v>
      </c>
      <c r="E146" s="170">
        <v>4</v>
      </c>
      <c r="F146" s="170">
        <f t="shared" si="14"/>
        <v>5</v>
      </c>
      <c r="G146" s="178"/>
      <c r="H146" s="199">
        <f t="shared" si="15"/>
        <v>1</v>
      </c>
    </row>
    <row r="147" spans="1:8">
      <c r="A147" s="171" t="s">
        <v>203</v>
      </c>
      <c r="B147" s="170" t="s">
        <v>321</v>
      </c>
      <c r="C147" s="170">
        <v>16</v>
      </c>
      <c r="D147" s="170" t="s">
        <v>183</v>
      </c>
      <c r="E147" s="170">
        <v>15</v>
      </c>
      <c r="F147" s="170">
        <f t="shared" si="14"/>
        <v>16</v>
      </c>
      <c r="G147" s="178"/>
      <c r="H147" s="199">
        <f t="shared" si="15"/>
        <v>1</v>
      </c>
    </row>
    <row r="148" spans="1:8">
      <c r="A148" s="171" t="s">
        <v>203</v>
      </c>
      <c r="B148" s="170" t="s">
        <v>321</v>
      </c>
      <c r="C148" s="170">
        <v>17</v>
      </c>
      <c r="D148" s="170" t="s">
        <v>184</v>
      </c>
      <c r="E148" s="170">
        <v>28</v>
      </c>
      <c r="F148" s="170">
        <f t="shared" si="14"/>
        <v>29</v>
      </c>
      <c r="G148" s="178"/>
      <c r="H148" s="199">
        <f t="shared" si="15"/>
        <v>1</v>
      </c>
    </row>
    <row r="149" spans="1:8">
      <c r="A149" s="171" t="s">
        <v>203</v>
      </c>
      <c r="B149" s="170" t="s">
        <v>321</v>
      </c>
      <c r="C149" s="170">
        <v>18</v>
      </c>
      <c r="D149" s="170" t="s">
        <v>185</v>
      </c>
      <c r="E149" s="170">
        <v>19</v>
      </c>
      <c r="F149" s="170">
        <f t="shared" si="14"/>
        <v>20</v>
      </c>
      <c r="G149" s="178"/>
      <c r="H149" s="199">
        <f t="shared" si="15"/>
        <v>1</v>
      </c>
    </row>
    <row r="150" spans="1:8">
      <c r="A150" s="171" t="s">
        <v>203</v>
      </c>
      <c r="B150" s="170" t="s">
        <v>321</v>
      </c>
      <c r="C150" s="170">
        <v>19</v>
      </c>
      <c r="D150" s="170" t="s">
        <v>186</v>
      </c>
      <c r="E150" s="170">
        <v>41</v>
      </c>
      <c r="F150" s="170">
        <f t="shared" si="14"/>
        <v>42</v>
      </c>
      <c r="G150" s="178"/>
      <c r="H150" s="199">
        <f t="shared" si="15"/>
        <v>1</v>
      </c>
    </row>
    <row r="151" spans="1:8">
      <c r="A151" s="171" t="s">
        <v>203</v>
      </c>
      <c r="B151" s="170" t="s">
        <v>321</v>
      </c>
      <c r="C151" s="170">
        <v>20</v>
      </c>
      <c r="D151" s="170" t="s">
        <v>187</v>
      </c>
      <c r="E151" s="170">
        <v>18</v>
      </c>
      <c r="F151" s="170">
        <f t="shared" si="14"/>
        <v>19</v>
      </c>
      <c r="G151" s="178"/>
      <c r="H151" s="199">
        <f t="shared" si="15"/>
        <v>1</v>
      </c>
    </row>
    <row r="152" spans="1:8">
      <c r="A152" s="171" t="s">
        <v>203</v>
      </c>
      <c r="B152" s="170" t="s">
        <v>321</v>
      </c>
      <c r="C152" s="170">
        <v>21</v>
      </c>
      <c r="D152" s="170" t="s">
        <v>188</v>
      </c>
      <c r="E152" s="170">
        <v>27</v>
      </c>
      <c r="F152" s="170">
        <f t="shared" si="14"/>
        <v>28</v>
      </c>
      <c r="G152" s="182"/>
      <c r="H152" s="199">
        <f t="shared" si="15"/>
        <v>1</v>
      </c>
    </row>
    <row r="153" spans="1:8">
      <c r="A153" s="171" t="s">
        <v>203</v>
      </c>
      <c r="B153" s="170" t="s">
        <v>321</v>
      </c>
      <c r="C153" s="170">
        <v>22</v>
      </c>
      <c r="D153" s="170" t="s">
        <v>189</v>
      </c>
      <c r="E153" s="170">
        <v>75</v>
      </c>
      <c r="F153" s="170">
        <f t="shared" si="14"/>
        <v>76</v>
      </c>
      <c r="G153" s="182">
        <f>SUM(F132:F153)</f>
        <v>569</v>
      </c>
      <c r="H153" s="199">
        <f t="shared" si="15"/>
        <v>1</v>
      </c>
    </row>
    <row r="154" spans="1:8">
      <c r="A154" s="171" t="s">
        <v>203</v>
      </c>
      <c r="B154" s="169" t="s">
        <v>190</v>
      </c>
      <c r="C154" s="170">
        <v>1</v>
      </c>
      <c r="D154" s="170" t="s">
        <v>191</v>
      </c>
      <c r="E154" s="170">
        <v>46</v>
      </c>
      <c r="F154" s="170">
        <f t="shared" si="14"/>
        <v>47</v>
      </c>
      <c r="G154" s="178"/>
      <c r="H154" s="199">
        <f t="shared" si="15"/>
        <v>1</v>
      </c>
    </row>
    <row r="155" spans="1:8">
      <c r="A155" s="171" t="s">
        <v>203</v>
      </c>
      <c r="B155" s="170" t="s">
        <v>322</v>
      </c>
      <c r="C155" s="170">
        <v>2</v>
      </c>
      <c r="D155" s="170" t="s">
        <v>192</v>
      </c>
      <c r="E155" s="170">
        <v>26</v>
      </c>
      <c r="F155" s="170">
        <f t="shared" si="14"/>
        <v>27</v>
      </c>
      <c r="G155" s="178"/>
      <c r="H155" s="199">
        <f t="shared" si="15"/>
        <v>1</v>
      </c>
    </row>
    <row r="156" spans="1:8">
      <c r="A156" s="171" t="s">
        <v>203</v>
      </c>
      <c r="B156" s="170" t="s">
        <v>322</v>
      </c>
      <c r="C156" s="170">
        <v>3</v>
      </c>
      <c r="D156" s="170" t="s">
        <v>193</v>
      </c>
      <c r="E156" s="170">
        <v>44</v>
      </c>
      <c r="F156" s="170">
        <f t="shared" si="14"/>
        <v>45</v>
      </c>
      <c r="G156" s="178"/>
      <c r="H156" s="199">
        <f t="shared" si="15"/>
        <v>1</v>
      </c>
    </row>
    <row r="157" spans="1:8">
      <c r="A157" s="171" t="s">
        <v>203</v>
      </c>
      <c r="B157" s="170" t="s">
        <v>322</v>
      </c>
      <c r="C157" s="170">
        <v>4</v>
      </c>
      <c r="D157" s="170" t="s">
        <v>194</v>
      </c>
      <c r="E157" s="170">
        <v>47</v>
      </c>
      <c r="F157" s="170">
        <f t="shared" si="14"/>
        <v>48</v>
      </c>
      <c r="G157" s="178"/>
      <c r="H157" s="199">
        <f t="shared" si="15"/>
        <v>1</v>
      </c>
    </row>
    <row r="158" spans="1:8">
      <c r="A158" s="171" t="s">
        <v>203</v>
      </c>
      <c r="B158" s="170" t="s">
        <v>322</v>
      </c>
      <c r="C158" s="170">
        <v>5</v>
      </c>
      <c r="D158" s="169" t="s">
        <v>195</v>
      </c>
      <c r="E158" s="170">
        <v>18</v>
      </c>
      <c r="F158" s="169">
        <f>SUM(E158+1)</f>
        <v>19</v>
      </c>
      <c r="G158" s="178"/>
      <c r="H158" s="199">
        <f t="shared" si="15"/>
        <v>1</v>
      </c>
    </row>
    <row r="159" spans="1:8">
      <c r="A159" s="171" t="s">
        <v>203</v>
      </c>
      <c r="B159" s="170" t="s">
        <v>322</v>
      </c>
      <c r="C159" s="170">
        <v>6</v>
      </c>
      <c r="D159" s="169" t="s">
        <v>196</v>
      </c>
      <c r="E159" s="170">
        <v>46</v>
      </c>
      <c r="F159" s="169">
        <f t="shared" si="14"/>
        <v>47</v>
      </c>
      <c r="G159" s="178"/>
      <c r="H159" s="199">
        <f t="shared" si="15"/>
        <v>1</v>
      </c>
    </row>
    <row r="160" spans="1:8">
      <c r="A160" s="171" t="s">
        <v>203</v>
      </c>
      <c r="B160" s="170" t="s">
        <v>322</v>
      </c>
      <c r="C160" s="170">
        <v>7</v>
      </c>
      <c r="D160" s="170" t="s">
        <v>197</v>
      </c>
      <c r="E160" s="170">
        <v>24</v>
      </c>
      <c r="F160" s="170">
        <f t="shared" si="14"/>
        <v>25</v>
      </c>
      <c r="G160" s="178"/>
      <c r="H160" s="199">
        <f t="shared" si="15"/>
        <v>1</v>
      </c>
    </row>
    <row r="161" spans="1:8">
      <c r="A161" s="171" t="s">
        <v>203</v>
      </c>
      <c r="B161" s="170" t="s">
        <v>322</v>
      </c>
      <c r="C161" s="170">
        <v>8</v>
      </c>
      <c r="D161" s="170" t="s">
        <v>198</v>
      </c>
      <c r="E161" s="170">
        <v>38</v>
      </c>
      <c r="F161" s="170">
        <f t="shared" si="14"/>
        <v>39</v>
      </c>
      <c r="G161" s="178"/>
      <c r="H161" s="199">
        <f t="shared" si="15"/>
        <v>1</v>
      </c>
    </row>
    <row r="162" spans="1:8">
      <c r="A162" s="171" t="s">
        <v>203</v>
      </c>
      <c r="B162" s="170" t="s">
        <v>322</v>
      </c>
      <c r="C162" s="170">
        <v>9</v>
      </c>
      <c r="D162" s="170" t="s">
        <v>199</v>
      </c>
      <c r="E162" s="170">
        <v>20</v>
      </c>
      <c r="F162" s="170">
        <f t="shared" si="14"/>
        <v>21</v>
      </c>
      <c r="G162" s="178"/>
      <c r="H162" s="199">
        <f t="shared" si="15"/>
        <v>1</v>
      </c>
    </row>
    <row r="163" spans="1:8">
      <c r="A163" s="171" t="s">
        <v>203</v>
      </c>
      <c r="B163" s="170" t="s">
        <v>322</v>
      </c>
      <c r="C163" s="170">
        <v>10</v>
      </c>
      <c r="D163" s="170" t="s">
        <v>200</v>
      </c>
      <c r="E163" s="170">
        <v>26</v>
      </c>
      <c r="F163" s="170">
        <f t="shared" si="14"/>
        <v>27</v>
      </c>
      <c r="G163" s="178"/>
      <c r="H163" s="199">
        <f t="shared" si="15"/>
        <v>1</v>
      </c>
    </row>
    <row r="164" spans="1:8">
      <c r="A164" s="171" t="s">
        <v>203</v>
      </c>
      <c r="B164" s="170" t="s">
        <v>322</v>
      </c>
      <c r="C164" s="170">
        <v>11</v>
      </c>
      <c r="D164" s="170" t="s">
        <v>201</v>
      </c>
      <c r="E164" s="170">
        <v>26</v>
      </c>
      <c r="F164" s="170">
        <f t="shared" si="14"/>
        <v>27</v>
      </c>
      <c r="G164" s="178"/>
      <c r="H164" s="199">
        <f t="shared" si="15"/>
        <v>1</v>
      </c>
    </row>
    <row r="165" spans="1:8">
      <c r="A165" s="171" t="s">
        <v>203</v>
      </c>
      <c r="B165" s="170" t="s">
        <v>322</v>
      </c>
      <c r="C165" s="169">
        <v>12</v>
      </c>
      <c r="D165" s="169" t="s">
        <v>202</v>
      </c>
      <c r="E165" s="170">
        <v>51</v>
      </c>
      <c r="F165" s="169">
        <f t="shared" si="14"/>
        <v>52</v>
      </c>
      <c r="G165" s="183">
        <f>SUM(F154:F165)</f>
        <v>424</v>
      </c>
      <c r="H165" s="199">
        <f t="shared" si="15"/>
        <v>1</v>
      </c>
    </row>
    <row r="166" spans="1:8">
      <c r="A166" s="171" t="s">
        <v>246</v>
      </c>
      <c r="B166" s="169" t="s">
        <v>204</v>
      </c>
      <c r="C166" s="169">
        <v>1</v>
      </c>
      <c r="D166" s="169" t="s">
        <v>205</v>
      </c>
      <c r="E166" s="184">
        <v>49</v>
      </c>
      <c r="F166" s="177">
        <f>SUM(E166+1)</f>
        <v>50</v>
      </c>
      <c r="G166" s="183"/>
      <c r="H166" s="199">
        <f t="shared" si="15"/>
        <v>1</v>
      </c>
    </row>
    <row r="167" spans="1:8">
      <c r="A167" s="171" t="s">
        <v>245</v>
      </c>
      <c r="B167" s="169" t="s">
        <v>323</v>
      </c>
      <c r="C167" s="169">
        <v>2</v>
      </c>
      <c r="D167" s="169" t="s">
        <v>206</v>
      </c>
      <c r="E167" s="177">
        <v>55</v>
      </c>
      <c r="F167" s="177">
        <f t="shared" ref="F167:F203" si="16">SUM(E167+1)</f>
        <v>56</v>
      </c>
      <c r="G167" s="183"/>
      <c r="H167" s="199">
        <f t="shared" si="15"/>
        <v>1</v>
      </c>
    </row>
    <row r="168" spans="1:8">
      <c r="A168" s="171" t="s">
        <v>245</v>
      </c>
      <c r="B168" s="169" t="s">
        <v>323</v>
      </c>
      <c r="C168" s="169">
        <v>3</v>
      </c>
      <c r="D168" s="169" t="s">
        <v>207</v>
      </c>
      <c r="E168" s="177">
        <v>51</v>
      </c>
      <c r="F168" s="177">
        <f t="shared" si="16"/>
        <v>52</v>
      </c>
      <c r="G168" s="183"/>
      <c r="H168" s="199">
        <f t="shared" si="15"/>
        <v>1</v>
      </c>
    </row>
    <row r="169" spans="1:8">
      <c r="A169" s="171" t="s">
        <v>245</v>
      </c>
      <c r="B169" s="169" t="s">
        <v>323</v>
      </c>
      <c r="C169" s="169">
        <v>4</v>
      </c>
      <c r="D169" s="169" t="s">
        <v>208</v>
      </c>
      <c r="E169" s="177">
        <v>71</v>
      </c>
      <c r="F169" s="177">
        <f t="shared" si="16"/>
        <v>72</v>
      </c>
      <c r="G169" s="183"/>
      <c r="H169" s="199">
        <f t="shared" si="15"/>
        <v>1</v>
      </c>
    </row>
    <row r="170" spans="1:8">
      <c r="A170" s="171" t="s">
        <v>245</v>
      </c>
      <c r="B170" s="169" t="s">
        <v>323</v>
      </c>
      <c r="C170" s="169">
        <v>5</v>
      </c>
      <c r="D170" s="169" t="s">
        <v>209</v>
      </c>
      <c r="E170" s="177">
        <v>40</v>
      </c>
      <c r="F170" s="177">
        <f t="shared" si="16"/>
        <v>41</v>
      </c>
      <c r="G170" s="183"/>
      <c r="H170" s="199">
        <f t="shared" si="15"/>
        <v>1</v>
      </c>
    </row>
    <row r="171" spans="1:8">
      <c r="A171" s="171" t="s">
        <v>245</v>
      </c>
      <c r="B171" s="169" t="s">
        <v>323</v>
      </c>
      <c r="C171" s="169">
        <v>6</v>
      </c>
      <c r="D171" s="169" t="s">
        <v>210</v>
      </c>
      <c r="E171" s="177">
        <v>70</v>
      </c>
      <c r="F171" s="177">
        <f t="shared" si="16"/>
        <v>71</v>
      </c>
      <c r="G171" s="183"/>
      <c r="H171" s="199">
        <f t="shared" si="15"/>
        <v>1</v>
      </c>
    </row>
    <row r="172" spans="1:8">
      <c r="A172" s="171" t="s">
        <v>245</v>
      </c>
      <c r="B172" s="169" t="s">
        <v>323</v>
      </c>
      <c r="C172" s="169">
        <v>7</v>
      </c>
      <c r="D172" s="169" t="s">
        <v>211</v>
      </c>
      <c r="E172" s="177">
        <v>82</v>
      </c>
      <c r="F172" s="177">
        <f t="shared" si="16"/>
        <v>83</v>
      </c>
      <c r="G172" s="183"/>
      <c r="H172" s="199">
        <f t="shared" si="15"/>
        <v>1</v>
      </c>
    </row>
    <row r="173" spans="1:8">
      <c r="A173" s="171" t="s">
        <v>245</v>
      </c>
      <c r="B173" s="169" t="s">
        <v>323</v>
      </c>
      <c r="C173" s="169">
        <v>8</v>
      </c>
      <c r="D173" s="169" t="s">
        <v>212</v>
      </c>
      <c r="E173" s="177">
        <v>68</v>
      </c>
      <c r="F173" s="177">
        <f t="shared" si="16"/>
        <v>69</v>
      </c>
      <c r="G173" s="183"/>
      <c r="H173" s="199">
        <f t="shared" si="15"/>
        <v>1</v>
      </c>
    </row>
    <row r="174" spans="1:8">
      <c r="A174" s="171" t="s">
        <v>245</v>
      </c>
      <c r="B174" s="169" t="s">
        <v>323</v>
      </c>
      <c r="C174" s="169">
        <v>9</v>
      </c>
      <c r="D174" s="169" t="s">
        <v>213</v>
      </c>
      <c r="E174" s="177">
        <v>41</v>
      </c>
      <c r="F174" s="177">
        <f t="shared" si="16"/>
        <v>42</v>
      </c>
      <c r="G174" s="185">
        <f>SUM(F166:F174)</f>
        <v>536</v>
      </c>
      <c r="H174" s="199">
        <f t="shared" si="15"/>
        <v>1</v>
      </c>
    </row>
    <row r="175" spans="1:8">
      <c r="A175" s="171" t="s">
        <v>245</v>
      </c>
      <c r="B175" s="169" t="s">
        <v>214</v>
      </c>
      <c r="C175" s="169">
        <v>1</v>
      </c>
      <c r="D175" s="169" t="s">
        <v>215</v>
      </c>
      <c r="E175" s="177">
        <v>66</v>
      </c>
      <c r="F175" s="177">
        <f t="shared" si="16"/>
        <v>67</v>
      </c>
      <c r="G175" s="183"/>
      <c r="H175" s="199">
        <f t="shared" si="15"/>
        <v>1</v>
      </c>
    </row>
    <row r="176" spans="1:8">
      <c r="A176" s="171" t="s">
        <v>245</v>
      </c>
      <c r="B176" s="169" t="s">
        <v>324</v>
      </c>
      <c r="C176" s="169">
        <v>2</v>
      </c>
      <c r="D176" s="169" t="s">
        <v>216</v>
      </c>
      <c r="E176" s="177">
        <v>102</v>
      </c>
      <c r="F176" s="177">
        <f t="shared" si="16"/>
        <v>103</v>
      </c>
      <c r="G176" s="183"/>
      <c r="H176" s="199">
        <f t="shared" si="15"/>
        <v>1</v>
      </c>
    </row>
    <row r="177" spans="1:8">
      <c r="A177" s="171" t="s">
        <v>245</v>
      </c>
      <c r="B177" s="169" t="s">
        <v>324</v>
      </c>
      <c r="C177" s="169">
        <v>3</v>
      </c>
      <c r="D177" s="169" t="s">
        <v>217</v>
      </c>
      <c r="E177" s="177">
        <v>36</v>
      </c>
      <c r="F177" s="177">
        <f t="shared" si="16"/>
        <v>37</v>
      </c>
      <c r="G177" s="183"/>
      <c r="H177" s="199">
        <f t="shared" si="15"/>
        <v>1</v>
      </c>
    </row>
    <row r="178" spans="1:8">
      <c r="A178" s="171" t="s">
        <v>245</v>
      </c>
      <c r="B178" s="169" t="s">
        <v>324</v>
      </c>
      <c r="C178" s="169">
        <v>4</v>
      </c>
      <c r="D178" s="169" t="s">
        <v>218</v>
      </c>
      <c r="E178" s="177">
        <v>32</v>
      </c>
      <c r="F178" s="177">
        <f t="shared" si="16"/>
        <v>33</v>
      </c>
      <c r="G178" s="183"/>
      <c r="H178" s="199">
        <f t="shared" si="15"/>
        <v>1</v>
      </c>
    </row>
    <row r="179" spans="1:8">
      <c r="A179" s="171" t="s">
        <v>245</v>
      </c>
      <c r="B179" s="169" t="s">
        <v>324</v>
      </c>
      <c r="C179" s="169">
        <v>5</v>
      </c>
      <c r="D179" s="169" t="s">
        <v>219</v>
      </c>
      <c r="E179" s="177">
        <v>34</v>
      </c>
      <c r="F179" s="177">
        <f t="shared" si="16"/>
        <v>35</v>
      </c>
      <c r="G179" s="183"/>
      <c r="H179" s="199">
        <f t="shared" si="15"/>
        <v>1</v>
      </c>
    </row>
    <row r="180" spans="1:8">
      <c r="A180" s="171" t="s">
        <v>245</v>
      </c>
      <c r="B180" s="169" t="s">
        <v>324</v>
      </c>
      <c r="C180" s="169">
        <v>6</v>
      </c>
      <c r="D180" s="169" t="s">
        <v>220</v>
      </c>
      <c r="E180" s="177">
        <v>50</v>
      </c>
      <c r="F180" s="177">
        <f t="shared" si="16"/>
        <v>51</v>
      </c>
      <c r="G180" s="183"/>
      <c r="H180" s="199">
        <f t="shared" si="15"/>
        <v>1</v>
      </c>
    </row>
    <row r="181" spans="1:8">
      <c r="A181" s="171" t="s">
        <v>245</v>
      </c>
      <c r="B181" s="169" t="s">
        <v>324</v>
      </c>
      <c r="C181" s="169">
        <v>7</v>
      </c>
      <c r="D181" s="169" t="s">
        <v>221</v>
      </c>
      <c r="E181" s="177">
        <v>50</v>
      </c>
      <c r="F181" s="177">
        <f t="shared" si="16"/>
        <v>51</v>
      </c>
      <c r="G181" s="183"/>
      <c r="H181" s="199">
        <f t="shared" si="15"/>
        <v>1</v>
      </c>
    </row>
    <row r="182" spans="1:8">
      <c r="A182" s="171" t="s">
        <v>245</v>
      </c>
      <c r="B182" s="169" t="s">
        <v>324</v>
      </c>
      <c r="C182" s="169">
        <v>8</v>
      </c>
      <c r="D182" s="169" t="s">
        <v>222</v>
      </c>
      <c r="E182" s="177">
        <v>63</v>
      </c>
      <c r="F182" s="177">
        <f t="shared" si="16"/>
        <v>64</v>
      </c>
      <c r="G182" s="183"/>
      <c r="H182" s="199">
        <f t="shared" si="15"/>
        <v>1</v>
      </c>
    </row>
    <row r="183" spans="1:8">
      <c r="A183" s="171" t="s">
        <v>245</v>
      </c>
      <c r="B183" s="169" t="s">
        <v>324</v>
      </c>
      <c r="C183" s="169">
        <v>9</v>
      </c>
      <c r="D183" s="174" t="s">
        <v>223</v>
      </c>
      <c r="E183" s="177">
        <v>51</v>
      </c>
      <c r="F183" s="177">
        <f t="shared" si="16"/>
        <v>52</v>
      </c>
      <c r="G183" s="183"/>
      <c r="H183" s="199">
        <f t="shared" si="15"/>
        <v>1</v>
      </c>
    </row>
    <row r="184" spans="1:8">
      <c r="A184" s="171" t="s">
        <v>245</v>
      </c>
      <c r="B184" s="169" t="s">
        <v>324</v>
      </c>
      <c r="C184" s="169">
        <v>10</v>
      </c>
      <c r="D184" s="169" t="s">
        <v>224</v>
      </c>
      <c r="E184" s="177">
        <v>45</v>
      </c>
      <c r="F184" s="177">
        <f t="shared" si="16"/>
        <v>46</v>
      </c>
      <c r="G184" s="183"/>
      <c r="H184" s="199">
        <f t="shared" si="15"/>
        <v>1</v>
      </c>
    </row>
    <row r="185" spans="1:8">
      <c r="A185" s="171" t="s">
        <v>245</v>
      </c>
      <c r="B185" s="169" t="s">
        <v>324</v>
      </c>
      <c r="C185" s="169">
        <v>11</v>
      </c>
      <c r="D185" s="169" t="s">
        <v>225</v>
      </c>
      <c r="E185" s="177">
        <v>40</v>
      </c>
      <c r="F185" s="177">
        <f t="shared" si="16"/>
        <v>41</v>
      </c>
      <c r="G185" s="183"/>
      <c r="H185" s="199">
        <f t="shared" si="15"/>
        <v>1</v>
      </c>
    </row>
    <row r="186" spans="1:8">
      <c r="A186" s="171" t="s">
        <v>245</v>
      </c>
      <c r="B186" s="169" t="s">
        <v>324</v>
      </c>
      <c r="C186" s="169">
        <v>12</v>
      </c>
      <c r="D186" s="169" t="s">
        <v>226</v>
      </c>
      <c r="E186" s="177">
        <v>37</v>
      </c>
      <c r="F186" s="177">
        <f t="shared" si="16"/>
        <v>38</v>
      </c>
      <c r="G186" s="183"/>
      <c r="H186" s="199">
        <f t="shared" si="15"/>
        <v>1</v>
      </c>
    </row>
    <row r="187" spans="1:8">
      <c r="A187" s="171" t="s">
        <v>245</v>
      </c>
      <c r="B187" s="169" t="s">
        <v>324</v>
      </c>
      <c r="C187" s="169">
        <v>13</v>
      </c>
      <c r="D187" s="169" t="s">
        <v>227</v>
      </c>
      <c r="E187" s="177">
        <v>33</v>
      </c>
      <c r="F187" s="177">
        <f t="shared" si="16"/>
        <v>34</v>
      </c>
      <c r="G187" s="183"/>
      <c r="H187" s="199">
        <f t="shared" si="15"/>
        <v>1</v>
      </c>
    </row>
    <row r="188" spans="1:8">
      <c r="A188" s="171" t="s">
        <v>245</v>
      </c>
      <c r="B188" s="169" t="s">
        <v>324</v>
      </c>
      <c r="C188" s="169">
        <v>14</v>
      </c>
      <c r="D188" s="169" t="s">
        <v>228</v>
      </c>
      <c r="E188" s="177">
        <v>18</v>
      </c>
      <c r="F188" s="177">
        <f t="shared" si="16"/>
        <v>19</v>
      </c>
      <c r="G188" s="183"/>
      <c r="H188" s="199">
        <f t="shared" si="15"/>
        <v>1</v>
      </c>
    </row>
    <row r="189" spans="1:8">
      <c r="A189" s="171" t="s">
        <v>245</v>
      </c>
      <c r="B189" s="169" t="s">
        <v>324</v>
      </c>
      <c r="C189" s="169">
        <v>15</v>
      </c>
      <c r="D189" s="174" t="s">
        <v>229</v>
      </c>
      <c r="E189" s="177">
        <v>60</v>
      </c>
      <c r="F189" s="177">
        <f t="shared" si="16"/>
        <v>61</v>
      </c>
      <c r="G189" s="185">
        <f>SUM(F175:F189)</f>
        <v>732</v>
      </c>
      <c r="H189" s="199">
        <f t="shared" si="15"/>
        <v>1</v>
      </c>
    </row>
    <row r="190" spans="1:8">
      <c r="A190" s="171" t="s">
        <v>245</v>
      </c>
      <c r="B190" s="169" t="s">
        <v>230</v>
      </c>
      <c r="C190" s="169">
        <v>1</v>
      </c>
      <c r="D190" s="169" t="s">
        <v>231</v>
      </c>
      <c r="E190" s="177">
        <v>61</v>
      </c>
      <c r="F190" s="177">
        <f t="shared" si="16"/>
        <v>62</v>
      </c>
      <c r="G190" s="183"/>
      <c r="H190" s="199">
        <f t="shared" si="15"/>
        <v>1</v>
      </c>
    </row>
    <row r="191" spans="1:8">
      <c r="A191" s="171" t="s">
        <v>245</v>
      </c>
      <c r="B191" s="169" t="s">
        <v>325</v>
      </c>
      <c r="C191" s="169">
        <v>2</v>
      </c>
      <c r="D191" s="169" t="s">
        <v>232</v>
      </c>
      <c r="E191" s="177">
        <v>51</v>
      </c>
      <c r="F191" s="177">
        <f t="shared" si="16"/>
        <v>52</v>
      </c>
      <c r="G191" s="183"/>
      <c r="H191" s="199">
        <f t="shared" si="15"/>
        <v>1</v>
      </c>
    </row>
    <row r="192" spans="1:8">
      <c r="A192" s="171" t="s">
        <v>245</v>
      </c>
      <c r="B192" s="169" t="s">
        <v>325</v>
      </c>
      <c r="C192" s="169">
        <v>3</v>
      </c>
      <c r="D192" s="169" t="s">
        <v>233</v>
      </c>
      <c r="E192" s="177">
        <v>67</v>
      </c>
      <c r="F192" s="177">
        <f t="shared" si="16"/>
        <v>68</v>
      </c>
      <c r="G192" s="183"/>
      <c r="H192" s="199">
        <f t="shared" si="15"/>
        <v>1</v>
      </c>
    </row>
    <row r="193" spans="1:8">
      <c r="A193" s="171" t="s">
        <v>245</v>
      </c>
      <c r="B193" s="169" t="s">
        <v>325</v>
      </c>
      <c r="C193" s="169">
        <v>4</v>
      </c>
      <c r="D193" s="169" t="s">
        <v>234</v>
      </c>
      <c r="E193" s="177">
        <v>43</v>
      </c>
      <c r="F193" s="177">
        <f t="shared" si="16"/>
        <v>44</v>
      </c>
      <c r="G193" s="183"/>
      <c r="H193" s="199">
        <f t="shared" si="15"/>
        <v>1</v>
      </c>
    </row>
    <row r="194" spans="1:8">
      <c r="A194" s="171" t="s">
        <v>245</v>
      </c>
      <c r="B194" s="169" t="s">
        <v>325</v>
      </c>
      <c r="C194" s="169">
        <v>5</v>
      </c>
      <c r="D194" s="169" t="s">
        <v>235</v>
      </c>
      <c r="E194" s="177">
        <v>35</v>
      </c>
      <c r="F194" s="177">
        <f t="shared" si="16"/>
        <v>36</v>
      </c>
      <c r="G194" s="183"/>
      <c r="H194" s="199">
        <f t="shared" si="15"/>
        <v>1</v>
      </c>
    </row>
    <row r="195" spans="1:8">
      <c r="A195" s="171" t="s">
        <v>245</v>
      </c>
      <c r="B195" s="169" t="s">
        <v>325</v>
      </c>
      <c r="C195" s="169">
        <v>6</v>
      </c>
      <c r="D195" s="169" t="s">
        <v>236</v>
      </c>
      <c r="E195" s="177">
        <v>28</v>
      </c>
      <c r="F195" s="177">
        <f t="shared" si="16"/>
        <v>29</v>
      </c>
      <c r="G195" s="183"/>
      <c r="H195" s="199">
        <f t="shared" ref="H195:H258" si="17">F195-E195</f>
        <v>1</v>
      </c>
    </row>
    <row r="196" spans="1:8">
      <c r="A196" s="171" t="s">
        <v>245</v>
      </c>
      <c r="B196" s="169" t="s">
        <v>325</v>
      </c>
      <c r="C196" s="169">
        <v>7</v>
      </c>
      <c r="D196" s="169" t="s">
        <v>237</v>
      </c>
      <c r="E196" s="177">
        <v>26</v>
      </c>
      <c r="F196" s="177">
        <f t="shared" si="16"/>
        <v>27</v>
      </c>
      <c r="G196" s="183"/>
      <c r="H196" s="199">
        <f t="shared" si="17"/>
        <v>1</v>
      </c>
    </row>
    <row r="197" spans="1:8">
      <c r="A197" s="171" t="s">
        <v>245</v>
      </c>
      <c r="B197" s="169" t="s">
        <v>325</v>
      </c>
      <c r="C197" s="169">
        <v>8</v>
      </c>
      <c r="D197" s="169" t="s">
        <v>238</v>
      </c>
      <c r="E197" s="177">
        <v>23</v>
      </c>
      <c r="F197" s="177">
        <f t="shared" si="16"/>
        <v>24</v>
      </c>
      <c r="G197" s="183"/>
      <c r="H197" s="199">
        <f t="shared" si="17"/>
        <v>1</v>
      </c>
    </row>
    <row r="198" spans="1:8">
      <c r="A198" s="171" t="s">
        <v>245</v>
      </c>
      <c r="B198" s="169" t="s">
        <v>325</v>
      </c>
      <c r="C198" s="169">
        <v>9</v>
      </c>
      <c r="D198" s="169" t="s">
        <v>239</v>
      </c>
      <c r="E198" s="177">
        <v>50</v>
      </c>
      <c r="F198" s="177">
        <f t="shared" si="16"/>
        <v>51</v>
      </c>
      <c r="G198" s="183"/>
      <c r="H198" s="199">
        <f t="shared" si="17"/>
        <v>1</v>
      </c>
    </row>
    <row r="199" spans="1:8">
      <c r="A199" s="171" t="s">
        <v>245</v>
      </c>
      <c r="B199" s="169" t="s">
        <v>325</v>
      </c>
      <c r="C199" s="169">
        <v>10</v>
      </c>
      <c r="D199" s="169" t="s">
        <v>240</v>
      </c>
      <c r="E199" s="177">
        <v>51</v>
      </c>
      <c r="F199" s="177">
        <f t="shared" si="16"/>
        <v>52</v>
      </c>
      <c r="G199" s="183"/>
      <c r="H199" s="199">
        <f t="shared" si="17"/>
        <v>1</v>
      </c>
    </row>
    <row r="200" spans="1:8">
      <c r="A200" s="171" t="s">
        <v>245</v>
      </c>
      <c r="B200" s="169" t="s">
        <v>325</v>
      </c>
      <c r="C200" s="169">
        <v>11</v>
      </c>
      <c r="D200" s="169" t="s">
        <v>241</v>
      </c>
      <c r="E200" s="177">
        <v>48</v>
      </c>
      <c r="F200" s="177">
        <f t="shared" si="16"/>
        <v>49</v>
      </c>
      <c r="G200" s="183"/>
      <c r="H200" s="199">
        <f t="shared" si="17"/>
        <v>1</v>
      </c>
    </row>
    <row r="201" spans="1:8">
      <c r="A201" s="171" t="s">
        <v>245</v>
      </c>
      <c r="B201" s="169" t="s">
        <v>325</v>
      </c>
      <c r="C201" s="169">
        <v>12</v>
      </c>
      <c r="D201" s="169" t="s">
        <v>242</v>
      </c>
      <c r="E201" s="177">
        <v>20</v>
      </c>
      <c r="F201" s="177">
        <f t="shared" si="16"/>
        <v>21</v>
      </c>
      <c r="G201" s="183"/>
      <c r="H201" s="199">
        <f t="shared" si="17"/>
        <v>1</v>
      </c>
    </row>
    <row r="202" spans="1:8">
      <c r="A202" s="171" t="s">
        <v>245</v>
      </c>
      <c r="B202" s="169" t="s">
        <v>325</v>
      </c>
      <c r="C202" s="169">
        <v>13</v>
      </c>
      <c r="D202" s="169" t="s">
        <v>243</v>
      </c>
      <c r="E202" s="177">
        <v>35</v>
      </c>
      <c r="F202" s="177">
        <f t="shared" si="16"/>
        <v>36</v>
      </c>
      <c r="G202" s="183"/>
      <c r="H202" s="199">
        <f t="shared" si="17"/>
        <v>1</v>
      </c>
    </row>
    <row r="203" spans="1:8">
      <c r="A203" s="171" t="s">
        <v>245</v>
      </c>
      <c r="B203" s="169" t="s">
        <v>325</v>
      </c>
      <c r="C203" s="169">
        <v>14</v>
      </c>
      <c r="D203" s="169" t="s">
        <v>244</v>
      </c>
      <c r="E203" s="177">
        <v>58</v>
      </c>
      <c r="F203" s="177">
        <f t="shared" si="16"/>
        <v>59</v>
      </c>
      <c r="G203" s="185">
        <f>SUM(F190:F203)</f>
        <v>610</v>
      </c>
      <c r="H203" s="199">
        <f t="shared" si="17"/>
        <v>1</v>
      </c>
    </row>
    <row r="204" spans="1:8">
      <c r="A204" s="171" t="s">
        <v>247</v>
      </c>
      <c r="B204" s="169" t="s">
        <v>248</v>
      </c>
      <c r="C204" s="170">
        <v>1</v>
      </c>
      <c r="D204" s="179" t="s">
        <v>249</v>
      </c>
      <c r="E204" s="177">
        <v>126</v>
      </c>
      <c r="F204" s="177">
        <f>SUM(E204+1)</f>
        <v>127</v>
      </c>
      <c r="G204" s="178"/>
      <c r="H204" s="199">
        <f t="shared" si="17"/>
        <v>1</v>
      </c>
    </row>
    <row r="205" spans="1:8">
      <c r="A205" s="171" t="s">
        <v>247</v>
      </c>
      <c r="B205" s="170" t="s">
        <v>326</v>
      </c>
      <c r="C205" s="170">
        <v>2</v>
      </c>
      <c r="D205" s="174" t="s">
        <v>250</v>
      </c>
      <c r="E205" s="177">
        <v>78</v>
      </c>
      <c r="F205" s="177">
        <f t="shared" ref="F205:F231" si="18">SUM(E205+1)</f>
        <v>79</v>
      </c>
      <c r="G205" s="178"/>
      <c r="H205" s="199">
        <f t="shared" si="17"/>
        <v>1</v>
      </c>
    </row>
    <row r="206" spans="1:8">
      <c r="A206" s="171" t="s">
        <v>247</v>
      </c>
      <c r="B206" s="170" t="s">
        <v>326</v>
      </c>
      <c r="C206" s="170">
        <v>3</v>
      </c>
      <c r="D206" s="179" t="s">
        <v>251</v>
      </c>
      <c r="E206" s="177">
        <v>105</v>
      </c>
      <c r="F206" s="177">
        <f t="shared" si="18"/>
        <v>106</v>
      </c>
      <c r="G206" s="178"/>
      <c r="H206" s="199">
        <f t="shared" si="17"/>
        <v>1</v>
      </c>
    </row>
    <row r="207" spans="1:8">
      <c r="A207" s="171" t="s">
        <v>247</v>
      </c>
      <c r="B207" s="170" t="s">
        <v>326</v>
      </c>
      <c r="C207" s="170">
        <v>4</v>
      </c>
      <c r="D207" s="186" t="s">
        <v>252</v>
      </c>
      <c r="E207" s="177">
        <v>71</v>
      </c>
      <c r="F207" s="177">
        <f t="shared" si="18"/>
        <v>72</v>
      </c>
      <c r="G207" s="178"/>
      <c r="H207" s="199">
        <f t="shared" si="17"/>
        <v>1</v>
      </c>
    </row>
    <row r="208" spans="1:8">
      <c r="A208" s="171" t="s">
        <v>247</v>
      </c>
      <c r="B208" s="170" t="s">
        <v>326</v>
      </c>
      <c r="C208" s="170">
        <v>5</v>
      </c>
      <c r="D208" s="179" t="s">
        <v>253</v>
      </c>
      <c r="E208" s="177">
        <v>80</v>
      </c>
      <c r="F208" s="177">
        <f t="shared" si="18"/>
        <v>81</v>
      </c>
      <c r="G208" s="178"/>
      <c r="H208" s="199">
        <f t="shared" si="17"/>
        <v>1</v>
      </c>
    </row>
    <row r="209" spans="1:8">
      <c r="A209" s="171" t="s">
        <v>247</v>
      </c>
      <c r="B209" s="170" t="s">
        <v>326</v>
      </c>
      <c r="C209" s="170">
        <v>6</v>
      </c>
      <c r="D209" s="179" t="s">
        <v>254</v>
      </c>
      <c r="E209" s="177">
        <v>126</v>
      </c>
      <c r="F209" s="177">
        <f t="shared" si="18"/>
        <v>127</v>
      </c>
      <c r="G209" s="178"/>
      <c r="H209" s="199">
        <f t="shared" si="17"/>
        <v>1</v>
      </c>
    </row>
    <row r="210" spans="1:8">
      <c r="A210" s="171" t="s">
        <v>247</v>
      </c>
      <c r="B210" s="170" t="s">
        <v>326</v>
      </c>
      <c r="C210" s="170">
        <v>7</v>
      </c>
      <c r="D210" s="179" t="s">
        <v>255</v>
      </c>
      <c r="E210" s="177">
        <v>122</v>
      </c>
      <c r="F210" s="177">
        <f t="shared" si="18"/>
        <v>123</v>
      </c>
      <c r="G210" s="178"/>
      <c r="H210" s="199">
        <f t="shared" si="17"/>
        <v>1</v>
      </c>
    </row>
    <row r="211" spans="1:8">
      <c r="A211" s="171" t="s">
        <v>247</v>
      </c>
      <c r="B211" s="170" t="s">
        <v>326</v>
      </c>
      <c r="C211" s="170">
        <v>8</v>
      </c>
      <c r="D211" s="179" t="s">
        <v>256</v>
      </c>
      <c r="E211" s="177">
        <v>63</v>
      </c>
      <c r="F211" s="177">
        <f t="shared" si="18"/>
        <v>64</v>
      </c>
      <c r="G211" s="178"/>
      <c r="H211" s="199">
        <f t="shared" si="17"/>
        <v>1</v>
      </c>
    </row>
    <row r="212" spans="1:8">
      <c r="A212" s="171" t="s">
        <v>247</v>
      </c>
      <c r="B212" s="170" t="s">
        <v>326</v>
      </c>
      <c r="C212" s="170">
        <v>9</v>
      </c>
      <c r="D212" s="179" t="s">
        <v>257</v>
      </c>
      <c r="E212" s="177">
        <v>192</v>
      </c>
      <c r="F212" s="177">
        <f t="shared" si="18"/>
        <v>193</v>
      </c>
      <c r="G212" s="178"/>
      <c r="H212" s="199">
        <f t="shared" si="17"/>
        <v>1</v>
      </c>
    </row>
    <row r="213" spans="1:8">
      <c r="A213" s="171" t="s">
        <v>247</v>
      </c>
      <c r="B213" s="170" t="s">
        <v>326</v>
      </c>
      <c r="C213" s="170">
        <v>10</v>
      </c>
      <c r="D213" s="179" t="s">
        <v>258</v>
      </c>
      <c r="E213" s="177">
        <v>125</v>
      </c>
      <c r="F213" s="177">
        <f t="shared" si="18"/>
        <v>126</v>
      </c>
      <c r="G213" s="178"/>
      <c r="H213" s="199">
        <f t="shared" si="17"/>
        <v>1</v>
      </c>
    </row>
    <row r="214" spans="1:8">
      <c r="A214" s="171" t="s">
        <v>247</v>
      </c>
      <c r="B214" s="170" t="s">
        <v>326</v>
      </c>
      <c r="C214" s="170">
        <v>11</v>
      </c>
      <c r="D214" s="179" t="s">
        <v>259</v>
      </c>
      <c r="E214" s="177">
        <v>90</v>
      </c>
      <c r="F214" s="177">
        <f t="shared" si="18"/>
        <v>91</v>
      </c>
      <c r="G214" s="178"/>
      <c r="H214" s="199">
        <f t="shared" si="17"/>
        <v>1</v>
      </c>
    </row>
    <row r="215" spans="1:8">
      <c r="A215" s="171" t="s">
        <v>247</v>
      </c>
      <c r="B215" s="170" t="s">
        <v>326</v>
      </c>
      <c r="C215" s="170">
        <v>12</v>
      </c>
      <c r="D215" s="179" t="s">
        <v>260</v>
      </c>
      <c r="E215" s="177">
        <v>182</v>
      </c>
      <c r="F215" s="177">
        <f t="shared" si="18"/>
        <v>183</v>
      </c>
      <c r="G215" s="178"/>
      <c r="H215" s="199">
        <f t="shared" si="17"/>
        <v>1</v>
      </c>
    </row>
    <row r="216" spans="1:8">
      <c r="A216" s="171" t="s">
        <v>247</v>
      </c>
      <c r="B216" s="170" t="s">
        <v>326</v>
      </c>
      <c r="C216" s="170">
        <v>13</v>
      </c>
      <c r="D216" s="179" t="s">
        <v>261</v>
      </c>
      <c r="E216" s="177">
        <v>346</v>
      </c>
      <c r="F216" s="177">
        <f t="shared" si="18"/>
        <v>347</v>
      </c>
      <c r="G216" s="181">
        <f>SUM(F204:F216)</f>
        <v>1719</v>
      </c>
      <c r="H216" s="199">
        <f t="shared" si="17"/>
        <v>1</v>
      </c>
    </row>
    <row r="217" spans="1:8">
      <c r="A217" s="171" t="s">
        <v>247</v>
      </c>
      <c r="B217" s="187" t="s">
        <v>262</v>
      </c>
      <c r="C217" s="188">
        <v>1</v>
      </c>
      <c r="D217" s="174" t="s">
        <v>263</v>
      </c>
      <c r="E217" s="177">
        <v>146</v>
      </c>
      <c r="F217" s="177">
        <f t="shared" si="18"/>
        <v>147</v>
      </c>
      <c r="G217" s="178"/>
      <c r="H217" s="199">
        <f t="shared" si="17"/>
        <v>1</v>
      </c>
    </row>
    <row r="218" spans="1:8">
      <c r="A218" s="171" t="s">
        <v>247</v>
      </c>
      <c r="B218" s="189" t="s">
        <v>327</v>
      </c>
      <c r="C218" s="190">
        <v>2</v>
      </c>
      <c r="D218" s="179" t="s">
        <v>264</v>
      </c>
      <c r="E218" s="177">
        <v>130</v>
      </c>
      <c r="F218" s="177">
        <f t="shared" si="18"/>
        <v>131</v>
      </c>
      <c r="G218" s="178"/>
      <c r="H218" s="199">
        <f t="shared" si="17"/>
        <v>1</v>
      </c>
    </row>
    <row r="219" spans="1:8">
      <c r="A219" s="171" t="s">
        <v>247</v>
      </c>
      <c r="B219" s="189" t="s">
        <v>327</v>
      </c>
      <c r="C219" s="190">
        <v>3</v>
      </c>
      <c r="D219" s="179" t="s">
        <v>265</v>
      </c>
      <c r="E219" s="177">
        <v>155</v>
      </c>
      <c r="F219" s="177">
        <f t="shared" si="18"/>
        <v>156</v>
      </c>
      <c r="G219" s="178"/>
      <c r="H219" s="199">
        <f t="shared" si="17"/>
        <v>1</v>
      </c>
    </row>
    <row r="220" spans="1:8">
      <c r="A220" s="171" t="s">
        <v>247</v>
      </c>
      <c r="B220" s="189" t="s">
        <v>327</v>
      </c>
      <c r="C220" s="190">
        <v>4</v>
      </c>
      <c r="D220" s="179" t="s">
        <v>266</v>
      </c>
      <c r="E220" s="177">
        <v>140</v>
      </c>
      <c r="F220" s="177">
        <f t="shared" si="18"/>
        <v>141</v>
      </c>
      <c r="G220" s="178"/>
      <c r="H220" s="199">
        <f t="shared" si="17"/>
        <v>1</v>
      </c>
    </row>
    <row r="221" spans="1:8">
      <c r="A221" s="171" t="s">
        <v>247</v>
      </c>
      <c r="B221" s="189" t="s">
        <v>327</v>
      </c>
      <c r="C221" s="190">
        <v>5</v>
      </c>
      <c r="D221" s="179" t="s">
        <v>267</v>
      </c>
      <c r="E221" s="177">
        <v>126</v>
      </c>
      <c r="F221" s="177">
        <f t="shared" si="18"/>
        <v>127</v>
      </c>
      <c r="G221" s="178"/>
      <c r="H221" s="199">
        <f t="shared" si="17"/>
        <v>1</v>
      </c>
    </row>
    <row r="222" spans="1:8">
      <c r="A222" s="171" t="s">
        <v>247</v>
      </c>
      <c r="B222" s="189" t="s">
        <v>327</v>
      </c>
      <c r="C222" s="190">
        <v>6</v>
      </c>
      <c r="D222" s="179" t="s">
        <v>268</v>
      </c>
      <c r="E222" s="177">
        <v>37</v>
      </c>
      <c r="F222" s="177">
        <f t="shared" si="18"/>
        <v>38</v>
      </c>
      <c r="G222" s="181">
        <f>SUM(F217:F222)</f>
        <v>740</v>
      </c>
      <c r="H222" s="199">
        <f t="shared" si="17"/>
        <v>1</v>
      </c>
    </row>
    <row r="223" spans="1:8">
      <c r="A223" s="171" t="s">
        <v>247</v>
      </c>
      <c r="B223" s="187" t="s">
        <v>269</v>
      </c>
      <c r="C223" s="190">
        <v>1</v>
      </c>
      <c r="D223" s="179" t="s">
        <v>270</v>
      </c>
      <c r="E223" s="177">
        <v>50</v>
      </c>
      <c r="F223" s="177">
        <f t="shared" si="18"/>
        <v>51</v>
      </c>
      <c r="G223" s="178"/>
      <c r="H223" s="199">
        <f t="shared" si="17"/>
        <v>1</v>
      </c>
    </row>
    <row r="224" spans="1:8">
      <c r="A224" s="171" t="s">
        <v>247</v>
      </c>
      <c r="B224" s="189" t="s">
        <v>328</v>
      </c>
      <c r="C224" s="188">
        <v>2</v>
      </c>
      <c r="D224" s="174" t="s">
        <v>271</v>
      </c>
      <c r="E224" s="177">
        <v>18</v>
      </c>
      <c r="F224" s="177">
        <f t="shared" si="18"/>
        <v>19</v>
      </c>
      <c r="G224" s="178"/>
      <c r="H224" s="199">
        <f t="shared" si="17"/>
        <v>1</v>
      </c>
    </row>
    <row r="225" spans="1:8">
      <c r="A225" s="171" t="s">
        <v>247</v>
      </c>
      <c r="B225" s="189" t="s">
        <v>328</v>
      </c>
      <c r="C225" s="190">
        <v>3</v>
      </c>
      <c r="D225" s="174" t="s">
        <v>272</v>
      </c>
      <c r="E225" s="177">
        <v>54</v>
      </c>
      <c r="F225" s="177">
        <f t="shared" si="18"/>
        <v>55</v>
      </c>
      <c r="G225" s="178"/>
      <c r="H225" s="199">
        <f t="shared" si="17"/>
        <v>1</v>
      </c>
    </row>
    <row r="226" spans="1:8">
      <c r="A226" s="171" t="s">
        <v>247</v>
      </c>
      <c r="B226" s="189" t="s">
        <v>328</v>
      </c>
      <c r="C226" s="190">
        <v>4</v>
      </c>
      <c r="D226" s="179" t="s">
        <v>273</v>
      </c>
      <c r="E226" s="177">
        <v>106</v>
      </c>
      <c r="F226" s="177">
        <f t="shared" si="18"/>
        <v>107</v>
      </c>
      <c r="G226" s="178"/>
      <c r="H226" s="199">
        <f t="shared" si="17"/>
        <v>1</v>
      </c>
    </row>
    <row r="227" spans="1:8">
      <c r="A227" s="171" t="s">
        <v>247</v>
      </c>
      <c r="B227" s="189" t="s">
        <v>328</v>
      </c>
      <c r="C227" s="190">
        <v>5</v>
      </c>
      <c r="D227" s="179" t="s">
        <v>274</v>
      </c>
      <c r="E227" s="177">
        <v>59</v>
      </c>
      <c r="F227" s="177">
        <f t="shared" si="18"/>
        <v>60</v>
      </c>
      <c r="G227" s="178"/>
      <c r="H227" s="199">
        <f t="shared" si="17"/>
        <v>1</v>
      </c>
    </row>
    <row r="228" spans="1:8">
      <c r="A228" s="171" t="s">
        <v>247</v>
      </c>
      <c r="B228" s="189" t="s">
        <v>328</v>
      </c>
      <c r="C228" s="190">
        <v>6</v>
      </c>
      <c r="D228" s="179" t="s">
        <v>275</v>
      </c>
      <c r="E228" s="177">
        <v>49</v>
      </c>
      <c r="F228" s="177">
        <f t="shared" si="18"/>
        <v>50</v>
      </c>
      <c r="G228" s="178"/>
      <c r="H228" s="199">
        <f t="shared" si="17"/>
        <v>1</v>
      </c>
    </row>
    <row r="229" spans="1:8">
      <c r="A229" s="171" t="s">
        <v>247</v>
      </c>
      <c r="B229" s="189" t="s">
        <v>328</v>
      </c>
      <c r="C229" s="190">
        <v>7</v>
      </c>
      <c r="D229" s="179" t="s">
        <v>276</v>
      </c>
      <c r="E229" s="177">
        <v>27</v>
      </c>
      <c r="F229" s="177">
        <f t="shared" si="18"/>
        <v>28</v>
      </c>
      <c r="G229" s="178"/>
      <c r="H229" s="199">
        <f t="shared" si="17"/>
        <v>1</v>
      </c>
    </row>
    <row r="230" spans="1:8">
      <c r="A230" s="171" t="s">
        <v>247</v>
      </c>
      <c r="B230" s="189" t="s">
        <v>328</v>
      </c>
      <c r="C230" s="190">
        <v>8</v>
      </c>
      <c r="D230" s="179" t="s">
        <v>277</v>
      </c>
      <c r="E230" s="177">
        <v>70</v>
      </c>
      <c r="F230" s="177">
        <f t="shared" si="18"/>
        <v>71</v>
      </c>
      <c r="G230" s="178"/>
      <c r="H230" s="199">
        <f t="shared" si="17"/>
        <v>1</v>
      </c>
    </row>
    <row r="231" spans="1:8">
      <c r="A231" s="171" t="s">
        <v>247</v>
      </c>
      <c r="B231" s="189" t="s">
        <v>328</v>
      </c>
      <c r="C231" s="190">
        <v>9</v>
      </c>
      <c r="D231" s="179" t="s">
        <v>278</v>
      </c>
      <c r="E231" s="177">
        <v>48</v>
      </c>
      <c r="F231" s="177">
        <f t="shared" si="18"/>
        <v>49</v>
      </c>
      <c r="G231" s="181">
        <f>SUM(F223:F231)</f>
        <v>490</v>
      </c>
      <c r="H231" s="199">
        <f t="shared" si="17"/>
        <v>1</v>
      </c>
    </row>
    <row r="232" spans="1:8">
      <c r="A232" s="171" t="s">
        <v>312</v>
      </c>
      <c r="B232" s="169" t="s">
        <v>279</v>
      </c>
      <c r="C232" s="179">
        <v>1</v>
      </c>
      <c r="D232" s="191" t="s">
        <v>280</v>
      </c>
      <c r="E232" s="174">
        <v>59</v>
      </c>
      <c r="F232" s="169">
        <f>SUM(E232+1)</f>
        <v>60</v>
      </c>
      <c r="G232" s="183"/>
      <c r="H232" s="199">
        <f t="shared" si="17"/>
        <v>1</v>
      </c>
    </row>
    <row r="233" spans="1:8">
      <c r="A233" s="171" t="s">
        <v>311</v>
      </c>
      <c r="B233" s="170" t="s">
        <v>329</v>
      </c>
      <c r="C233" s="179">
        <f t="shared" ref="C233:C243" si="19">1+C232</f>
        <v>2</v>
      </c>
      <c r="D233" s="191" t="s">
        <v>281</v>
      </c>
      <c r="E233" s="174">
        <v>104</v>
      </c>
      <c r="F233" s="169">
        <f t="shared" ref="F233:F265" si="20">SUM(E233+1)</f>
        <v>105</v>
      </c>
      <c r="G233" s="183"/>
      <c r="H233" s="199">
        <f t="shared" si="17"/>
        <v>1</v>
      </c>
    </row>
    <row r="234" spans="1:8">
      <c r="A234" s="171" t="s">
        <v>311</v>
      </c>
      <c r="B234" s="170" t="s">
        <v>329</v>
      </c>
      <c r="C234" s="179">
        <f t="shared" si="19"/>
        <v>3</v>
      </c>
      <c r="D234" s="191" t="s">
        <v>282</v>
      </c>
      <c r="E234" s="174">
        <v>30</v>
      </c>
      <c r="F234" s="169">
        <f t="shared" si="20"/>
        <v>31</v>
      </c>
      <c r="G234" s="183"/>
      <c r="H234" s="199">
        <f t="shared" si="17"/>
        <v>1</v>
      </c>
    </row>
    <row r="235" spans="1:8">
      <c r="A235" s="171" t="s">
        <v>311</v>
      </c>
      <c r="B235" s="170" t="s">
        <v>329</v>
      </c>
      <c r="C235" s="179">
        <f t="shared" si="19"/>
        <v>4</v>
      </c>
      <c r="D235" s="191" t="s">
        <v>283</v>
      </c>
      <c r="E235" s="174">
        <v>50</v>
      </c>
      <c r="F235" s="169">
        <f t="shared" si="20"/>
        <v>51</v>
      </c>
      <c r="G235" s="183"/>
      <c r="H235" s="199">
        <f t="shared" si="17"/>
        <v>1</v>
      </c>
    </row>
    <row r="236" spans="1:8">
      <c r="A236" s="171" t="s">
        <v>311</v>
      </c>
      <c r="B236" s="170" t="s">
        <v>329</v>
      </c>
      <c r="C236" s="179">
        <f t="shared" si="19"/>
        <v>5</v>
      </c>
      <c r="D236" s="191" t="s">
        <v>284</v>
      </c>
      <c r="E236" s="174">
        <v>27</v>
      </c>
      <c r="F236" s="169">
        <f t="shared" si="20"/>
        <v>28</v>
      </c>
      <c r="G236" s="183"/>
      <c r="H236" s="199">
        <f t="shared" si="17"/>
        <v>1</v>
      </c>
    </row>
    <row r="237" spans="1:8">
      <c r="A237" s="171" t="s">
        <v>311</v>
      </c>
      <c r="B237" s="170" t="s">
        <v>329</v>
      </c>
      <c r="C237" s="179">
        <f t="shared" si="19"/>
        <v>6</v>
      </c>
      <c r="D237" s="191" t="s">
        <v>285</v>
      </c>
      <c r="E237" s="174">
        <v>37</v>
      </c>
      <c r="F237" s="169">
        <f t="shared" si="20"/>
        <v>38</v>
      </c>
      <c r="G237" s="183"/>
      <c r="H237" s="199">
        <f t="shared" si="17"/>
        <v>1</v>
      </c>
    </row>
    <row r="238" spans="1:8">
      <c r="A238" s="171" t="s">
        <v>311</v>
      </c>
      <c r="B238" s="170" t="s">
        <v>329</v>
      </c>
      <c r="C238" s="174">
        <f t="shared" si="19"/>
        <v>7</v>
      </c>
      <c r="D238" s="192" t="s">
        <v>286</v>
      </c>
      <c r="E238" s="174">
        <v>24</v>
      </c>
      <c r="F238" s="169">
        <f t="shared" si="20"/>
        <v>25</v>
      </c>
      <c r="G238" s="183"/>
      <c r="H238" s="199">
        <f t="shared" si="17"/>
        <v>1</v>
      </c>
    </row>
    <row r="239" spans="1:8">
      <c r="A239" s="171" t="s">
        <v>311</v>
      </c>
      <c r="B239" s="170" t="s">
        <v>329</v>
      </c>
      <c r="C239" s="179">
        <f t="shared" si="19"/>
        <v>8</v>
      </c>
      <c r="D239" s="191" t="s">
        <v>287</v>
      </c>
      <c r="E239" s="174">
        <v>32</v>
      </c>
      <c r="F239" s="169">
        <f t="shared" si="20"/>
        <v>33</v>
      </c>
      <c r="G239" s="183"/>
      <c r="H239" s="199">
        <f t="shared" si="17"/>
        <v>1</v>
      </c>
    </row>
    <row r="240" spans="1:8">
      <c r="A240" s="171" t="s">
        <v>311</v>
      </c>
      <c r="B240" s="170" t="s">
        <v>329</v>
      </c>
      <c r="C240" s="179">
        <f t="shared" si="19"/>
        <v>9</v>
      </c>
      <c r="D240" s="193" t="s">
        <v>288</v>
      </c>
      <c r="E240" s="174">
        <v>96</v>
      </c>
      <c r="F240" s="169">
        <f t="shared" si="20"/>
        <v>97</v>
      </c>
      <c r="G240" s="183"/>
      <c r="H240" s="199">
        <f t="shared" si="17"/>
        <v>1</v>
      </c>
    </row>
    <row r="241" spans="1:8">
      <c r="A241" s="171" t="s">
        <v>311</v>
      </c>
      <c r="B241" s="170" t="s">
        <v>329</v>
      </c>
      <c r="C241" s="179">
        <f t="shared" si="19"/>
        <v>10</v>
      </c>
      <c r="D241" s="191" t="s">
        <v>289</v>
      </c>
      <c r="E241" s="174">
        <v>23</v>
      </c>
      <c r="F241" s="169">
        <f t="shared" si="20"/>
        <v>24</v>
      </c>
      <c r="G241" s="183"/>
      <c r="H241" s="199">
        <f t="shared" si="17"/>
        <v>1</v>
      </c>
    </row>
    <row r="242" spans="1:8">
      <c r="A242" s="171" t="s">
        <v>311</v>
      </c>
      <c r="B242" s="170" t="s">
        <v>329</v>
      </c>
      <c r="C242" s="179">
        <f t="shared" si="19"/>
        <v>11</v>
      </c>
      <c r="D242" s="191" t="s">
        <v>290</v>
      </c>
      <c r="E242" s="174">
        <v>59</v>
      </c>
      <c r="F242" s="169">
        <f t="shared" si="20"/>
        <v>60</v>
      </c>
      <c r="G242" s="183"/>
      <c r="H242" s="199">
        <f t="shared" si="17"/>
        <v>1</v>
      </c>
    </row>
    <row r="243" spans="1:8">
      <c r="A243" s="171" t="s">
        <v>311</v>
      </c>
      <c r="B243" s="170" t="s">
        <v>329</v>
      </c>
      <c r="C243" s="179">
        <f t="shared" si="19"/>
        <v>12</v>
      </c>
      <c r="D243" s="191" t="s">
        <v>291</v>
      </c>
      <c r="E243" s="174">
        <v>44</v>
      </c>
      <c r="F243" s="169">
        <f t="shared" si="20"/>
        <v>45</v>
      </c>
      <c r="G243" s="183">
        <f>SUM(F232:F243)</f>
        <v>597</v>
      </c>
      <c r="H243" s="199">
        <f t="shared" si="17"/>
        <v>1</v>
      </c>
    </row>
    <row r="244" spans="1:8">
      <c r="A244" s="171" t="s">
        <v>311</v>
      </c>
      <c r="B244" s="169" t="s">
        <v>292</v>
      </c>
      <c r="C244" s="179">
        <v>1</v>
      </c>
      <c r="D244" s="191" t="s">
        <v>293</v>
      </c>
      <c r="E244" s="174">
        <v>73</v>
      </c>
      <c r="F244" s="169">
        <f t="shared" si="20"/>
        <v>74</v>
      </c>
      <c r="G244" s="183"/>
      <c r="H244" s="199">
        <f t="shared" si="17"/>
        <v>1</v>
      </c>
    </row>
    <row r="245" spans="1:8">
      <c r="A245" s="171" t="s">
        <v>311</v>
      </c>
      <c r="B245" s="170" t="s">
        <v>330</v>
      </c>
      <c r="C245" s="179">
        <f t="shared" ref="C245:C252" si="21">1+C244</f>
        <v>2</v>
      </c>
      <c r="D245" s="191" t="s">
        <v>294</v>
      </c>
      <c r="E245" s="174">
        <v>24</v>
      </c>
      <c r="F245" s="169">
        <f t="shared" si="20"/>
        <v>25</v>
      </c>
      <c r="G245" s="183"/>
      <c r="H245" s="199">
        <f t="shared" si="17"/>
        <v>1</v>
      </c>
    </row>
    <row r="246" spans="1:8">
      <c r="A246" s="171" t="s">
        <v>311</v>
      </c>
      <c r="B246" s="170" t="s">
        <v>330</v>
      </c>
      <c r="C246" s="179">
        <f t="shared" si="21"/>
        <v>3</v>
      </c>
      <c r="D246" s="191" t="s">
        <v>295</v>
      </c>
      <c r="E246" s="174">
        <v>46</v>
      </c>
      <c r="F246" s="169">
        <f t="shared" si="20"/>
        <v>47</v>
      </c>
      <c r="G246" s="183"/>
      <c r="H246" s="199">
        <f t="shared" si="17"/>
        <v>1</v>
      </c>
    </row>
    <row r="247" spans="1:8">
      <c r="A247" s="171" t="s">
        <v>311</v>
      </c>
      <c r="B247" s="170" t="s">
        <v>330</v>
      </c>
      <c r="C247" s="174">
        <f t="shared" si="21"/>
        <v>4</v>
      </c>
      <c r="D247" s="192" t="s">
        <v>296</v>
      </c>
      <c r="E247" s="174">
        <v>96</v>
      </c>
      <c r="F247" s="169">
        <f t="shared" si="20"/>
        <v>97</v>
      </c>
      <c r="G247" s="183"/>
      <c r="H247" s="199">
        <f t="shared" si="17"/>
        <v>1</v>
      </c>
    </row>
    <row r="248" spans="1:8">
      <c r="A248" s="171" t="s">
        <v>311</v>
      </c>
      <c r="B248" s="170" t="s">
        <v>330</v>
      </c>
      <c r="C248" s="179">
        <f t="shared" si="21"/>
        <v>5</v>
      </c>
      <c r="D248" s="191" t="s">
        <v>297</v>
      </c>
      <c r="E248" s="174">
        <v>65</v>
      </c>
      <c r="F248" s="169">
        <f t="shared" si="20"/>
        <v>66</v>
      </c>
      <c r="G248" s="183"/>
      <c r="H248" s="199">
        <f t="shared" si="17"/>
        <v>1</v>
      </c>
    </row>
    <row r="249" spans="1:8">
      <c r="A249" s="171" t="s">
        <v>311</v>
      </c>
      <c r="B249" s="170" t="s">
        <v>330</v>
      </c>
      <c r="C249" s="179">
        <f t="shared" si="21"/>
        <v>6</v>
      </c>
      <c r="D249" s="191" t="s">
        <v>298</v>
      </c>
      <c r="E249" s="174">
        <v>27</v>
      </c>
      <c r="F249" s="169">
        <f t="shared" si="20"/>
        <v>28</v>
      </c>
      <c r="G249" s="183"/>
      <c r="H249" s="199">
        <f t="shared" si="17"/>
        <v>1</v>
      </c>
    </row>
    <row r="250" spans="1:8">
      <c r="A250" s="171" t="s">
        <v>311</v>
      </c>
      <c r="B250" s="170" t="s">
        <v>330</v>
      </c>
      <c r="C250" s="179">
        <f t="shared" si="21"/>
        <v>7</v>
      </c>
      <c r="D250" s="191" t="s">
        <v>299</v>
      </c>
      <c r="E250" s="174">
        <v>27</v>
      </c>
      <c r="F250" s="169">
        <f t="shared" si="20"/>
        <v>28</v>
      </c>
      <c r="G250" s="183"/>
      <c r="H250" s="199">
        <f t="shared" si="17"/>
        <v>1</v>
      </c>
    </row>
    <row r="251" spans="1:8">
      <c r="A251" s="171" t="s">
        <v>311</v>
      </c>
      <c r="B251" s="170" t="s">
        <v>330</v>
      </c>
      <c r="C251" s="179">
        <f t="shared" si="21"/>
        <v>8</v>
      </c>
      <c r="D251" s="191" t="s">
        <v>300</v>
      </c>
      <c r="E251" s="174">
        <v>15</v>
      </c>
      <c r="F251" s="169">
        <f t="shared" si="20"/>
        <v>16</v>
      </c>
      <c r="G251" s="183"/>
      <c r="H251" s="199">
        <f t="shared" si="17"/>
        <v>1</v>
      </c>
    </row>
    <row r="252" spans="1:8">
      <c r="A252" s="171" t="s">
        <v>311</v>
      </c>
      <c r="B252" s="170" t="s">
        <v>330</v>
      </c>
      <c r="C252" s="179">
        <f t="shared" si="21"/>
        <v>9</v>
      </c>
      <c r="D252" s="191" t="s">
        <v>301</v>
      </c>
      <c r="E252" s="174">
        <v>28</v>
      </c>
      <c r="F252" s="169">
        <f t="shared" si="20"/>
        <v>29</v>
      </c>
      <c r="G252" s="183">
        <f>SUM(F244:F252)</f>
        <v>410</v>
      </c>
      <c r="H252" s="199">
        <f t="shared" si="17"/>
        <v>1</v>
      </c>
    </row>
    <row r="253" spans="1:8">
      <c r="A253" s="171" t="s">
        <v>311</v>
      </c>
      <c r="B253" s="169" t="s">
        <v>302</v>
      </c>
      <c r="C253" s="174">
        <v>1</v>
      </c>
      <c r="D253" s="192" t="s">
        <v>303</v>
      </c>
      <c r="E253" s="174">
        <v>59</v>
      </c>
      <c r="F253" s="169">
        <f>SUM(E253+1)</f>
        <v>60</v>
      </c>
      <c r="G253" s="183"/>
      <c r="H253" s="199">
        <f t="shared" si="17"/>
        <v>1</v>
      </c>
    </row>
    <row r="254" spans="1:8">
      <c r="A254" s="171" t="s">
        <v>311</v>
      </c>
      <c r="B254" s="170" t="s">
        <v>331</v>
      </c>
      <c r="C254" s="179">
        <f t="shared" ref="C254:C260" si="22">1+C253</f>
        <v>2</v>
      </c>
      <c r="D254" s="191" t="s">
        <v>304</v>
      </c>
      <c r="E254" s="174">
        <v>46</v>
      </c>
      <c r="F254" s="169">
        <f t="shared" si="20"/>
        <v>47</v>
      </c>
      <c r="G254" s="183"/>
      <c r="H254" s="199">
        <f t="shared" si="17"/>
        <v>1</v>
      </c>
    </row>
    <row r="255" spans="1:8">
      <c r="A255" s="171" t="s">
        <v>311</v>
      </c>
      <c r="B255" s="170" t="s">
        <v>331</v>
      </c>
      <c r="C255" s="179">
        <f t="shared" si="22"/>
        <v>3</v>
      </c>
      <c r="D255" s="191" t="s">
        <v>305</v>
      </c>
      <c r="E255" s="174">
        <v>50</v>
      </c>
      <c r="F255" s="169">
        <f t="shared" si="20"/>
        <v>51</v>
      </c>
      <c r="G255" s="183"/>
      <c r="H255" s="199">
        <f t="shared" si="17"/>
        <v>1</v>
      </c>
    </row>
    <row r="256" spans="1:8">
      <c r="A256" s="171" t="s">
        <v>311</v>
      </c>
      <c r="B256" s="170" t="s">
        <v>331</v>
      </c>
      <c r="C256" s="174">
        <f t="shared" si="22"/>
        <v>4</v>
      </c>
      <c r="D256" s="192" t="s">
        <v>306</v>
      </c>
      <c r="E256" s="174">
        <v>34</v>
      </c>
      <c r="F256" s="169">
        <f t="shared" si="20"/>
        <v>35</v>
      </c>
      <c r="G256" s="183"/>
      <c r="H256" s="199">
        <f t="shared" si="17"/>
        <v>1</v>
      </c>
    </row>
    <row r="257" spans="1:8">
      <c r="A257" s="171" t="s">
        <v>311</v>
      </c>
      <c r="B257" s="170" t="s">
        <v>331</v>
      </c>
      <c r="C257" s="179">
        <f t="shared" si="22"/>
        <v>5</v>
      </c>
      <c r="D257" s="191" t="s">
        <v>307</v>
      </c>
      <c r="E257" s="174">
        <v>30</v>
      </c>
      <c r="F257" s="169">
        <f t="shared" si="20"/>
        <v>31</v>
      </c>
      <c r="G257" s="183"/>
      <c r="H257" s="199">
        <f t="shared" si="17"/>
        <v>1</v>
      </c>
    </row>
    <row r="258" spans="1:8">
      <c r="A258" s="171" t="s">
        <v>311</v>
      </c>
      <c r="B258" s="170" t="s">
        <v>331</v>
      </c>
      <c r="C258" s="179">
        <f t="shared" si="22"/>
        <v>6</v>
      </c>
      <c r="D258" s="191" t="s">
        <v>308</v>
      </c>
      <c r="E258" s="174">
        <v>27</v>
      </c>
      <c r="F258" s="169">
        <f t="shared" si="20"/>
        <v>28</v>
      </c>
      <c r="G258" s="183"/>
      <c r="H258" s="199">
        <f t="shared" si="17"/>
        <v>1</v>
      </c>
    </row>
    <row r="259" spans="1:8">
      <c r="A259" s="171" t="s">
        <v>311</v>
      </c>
      <c r="B259" s="170" t="s">
        <v>331</v>
      </c>
      <c r="C259" s="179">
        <f t="shared" si="22"/>
        <v>7</v>
      </c>
      <c r="D259" s="191" t="s">
        <v>309</v>
      </c>
      <c r="E259" s="174">
        <v>44</v>
      </c>
      <c r="F259" s="169">
        <f t="shared" si="20"/>
        <v>45</v>
      </c>
      <c r="G259" s="183"/>
      <c r="H259" s="199">
        <f t="shared" ref="H259:H265" si="23">F259-E259</f>
        <v>1</v>
      </c>
    </row>
    <row r="260" spans="1:8">
      <c r="A260" s="171" t="s">
        <v>311</v>
      </c>
      <c r="B260" s="170" t="s">
        <v>331</v>
      </c>
      <c r="C260" s="179">
        <f t="shared" si="22"/>
        <v>8</v>
      </c>
      <c r="D260" s="191" t="s">
        <v>310</v>
      </c>
      <c r="E260" s="174">
        <v>38</v>
      </c>
      <c r="F260" s="169">
        <f t="shared" si="20"/>
        <v>39</v>
      </c>
      <c r="G260" s="183">
        <f>SUM(F253:F260)</f>
        <v>336</v>
      </c>
      <c r="H260" s="199">
        <f t="shared" si="23"/>
        <v>1</v>
      </c>
    </row>
    <row r="261" spans="1:8">
      <c r="A261" s="171" t="s">
        <v>319</v>
      </c>
      <c r="B261" s="172" t="s">
        <v>319</v>
      </c>
      <c r="C261" s="172">
        <v>1</v>
      </c>
      <c r="D261" s="179" t="s">
        <v>313</v>
      </c>
      <c r="E261" s="194">
        <v>50</v>
      </c>
      <c r="F261" s="194">
        <v>50</v>
      </c>
      <c r="G261" s="173"/>
      <c r="H261" s="199">
        <f t="shared" si="23"/>
        <v>0</v>
      </c>
    </row>
    <row r="262" spans="1:8">
      <c r="A262" s="171" t="s">
        <v>318</v>
      </c>
      <c r="B262" s="172" t="s">
        <v>318</v>
      </c>
      <c r="C262" s="172">
        <v>2</v>
      </c>
      <c r="D262" s="179" t="s">
        <v>314</v>
      </c>
      <c r="E262" s="195">
        <v>25</v>
      </c>
      <c r="F262" s="195">
        <v>25</v>
      </c>
      <c r="G262" s="173"/>
      <c r="H262" s="199">
        <f t="shared" si="23"/>
        <v>0</v>
      </c>
    </row>
    <row r="263" spans="1:8">
      <c r="A263" s="171" t="s">
        <v>318</v>
      </c>
      <c r="B263" s="172" t="s">
        <v>318</v>
      </c>
      <c r="C263" s="172">
        <v>3</v>
      </c>
      <c r="D263" s="179" t="s">
        <v>315</v>
      </c>
      <c r="E263" s="195">
        <v>75</v>
      </c>
      <c r="F263" s="195">
        <v>75</v>
      </c>
      <c r="G263" s="173"/>
      <c r="H263" s="199">
        <f t="shared" si="23"/>
        <v>0</v>
      </c>
    </row>
    <row r="264" spans="1:8">
      <c r="A264" s="171" t="s">
        <v>318</v>
      </c>
      <c r="B264" s="172" t="s">
        <v>318</v>
      </c>
      <c r="C264" s="172">
        <v>4</v>
      </c>
      <c r="D264" s="179" t="s">
        <v>316</v>
      </c>
      <c r="E264" s="195">
        <v>40</v>
      </c>
      <c r="F264" s="195">
        <v>40</v>
      </c>
      <c r="G264" s="173"/>
      <c r="H264" s="199">
        <f t="shared" si="23"/>
        <v>0</v>
      </c>
    </row>
    <row r="265" spans="1:8">
      <c r="A265" s="171" t="s">
        <v>318</v>
      </c>
      <c r="B265" s="172" t="s">
        <v>318</v>
      </c>
      <c r="C265" s="172">
        <v>5</v>
      </c>
      <c r="D265" s="169" t="s">
        <v>317</v>
      </c>
      <c r="E265" s="195">
        <v>686</v>
      </c>
      <c r="F265" s="200">
        <f>E265</f>
        <v>686</v>
      </c>
      <c r="G265" s="173"/>
      <c r="H265" s="199">
        <f t="shared" si="23"/>
        <v>0</v>
      </c>
    </row>
    <row r="267" spans="1:8">
      <c r="E267" s="201">
        <f>SUM(E2:E265)</f>
        <v>20856</v>
      </c>
      <c r="F267" s="202">
        <f>SUM(F2:F265)</f>
        <v>21115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765F0-BED7-401A-8544-98C380D99B62}">
  <sheetPr codeName="Sheet3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56302-EF69-490E-A546-AF71DE82AA40}">
  <sheetPr codeName="Sheet4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生データ (2)</vt:lpstr>
      <vt:lpstr>生データ</vt:lpstr>
      <vt:lpstr>集計</vt:lpstr>
      <vt:lpstr>切り分け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mng-1</dc:creator>
  <cp:lastModifiedBy>yohei yamatoji</cp:lastModifiedBy>
  <dcterms:created xsi:type="dcterms:W3CDTF">2015-06-05T18:19:34Z</dcterms:created>
  <dcterms:modified xsi:type="dcterms:W3CDTF">2025-04-16T03:50:45Z</dcterms:modified>
</cp:coreProperties>
</file>